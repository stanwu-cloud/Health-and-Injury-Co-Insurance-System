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workspace\Health-and-Injury-Co-Insurance-System\templet\"/>
    </mc:Choice>
  </mc:AlternateContent>
  <xr:revisionPtr revIDLastSave="0" documentId="13_ncr:1_{A1D19D6B-889D-4901-917A-07D869E602CC}" xr6:coauthVersionLast="47" xr6:coauthVersionMax="47" xr10:uidLastSave="{00000000-0000-0000-0000-000000000000}"/>
  <bookViews>
    <workbookView xWindow="-120" yWindow="-120" windowWidth="29040" windowHeight="15720" tabRatio="481" xr2:uid="{00000000-000D-0000-FFFF-FFFF00000000}"/>
  </bookViews>
  <sheets>
    <sheet name="共保月帳單-彙整表" sheetId="2" r:id="rId1"/>
  </sheet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<sst xmlns="http://schemas.openxmlformats.org/spreadsheetml/2006/main" count="50" uniqueCount="49">
  <si>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</si>
  <si>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</si>
  <si>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</si>
  <si>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</si>
  <si>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</si>
  <si>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</si>
  <si>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</si>
  <si>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</si>
  <si>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</si>
  <si>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</si>
  <si>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</si>
  <si>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</si>
  <si>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</si>
  <si>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</si>
  <si>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</si>
  <si>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</si>
  <si>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</si>
  <si>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</si>
  <si>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</si>
  <si>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</si>
  <si>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</si>
  <si>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</si>
  <si>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</si>
  <si>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</si>
  <si>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</si>
  <si>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</si>
  <si>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</si>
  <si>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</si>
  <si>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</si>
  <si>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</si>
  <si>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</si>
  <si>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</si>
  <si>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</si>
  <si>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</si>
  <si>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</si>
  <si>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</si>
  <si>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</si>
  <si>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</si>
  <si>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共保月帳單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</si>
  <si>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</si>
  <si>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</si>
  <si>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</si>
  <si>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</si>
  <si>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</si>
  <si>
    <t>(9)=(6)x6%</t>
    <phoneticPr fontId="3" type="noConversion"/>
  </si>
  <si>
    <t>共保回分同業明細</t>
    <phoneticPr fontId="3" type="noConversion"/>
  </si>
  <si>
    <t>(4) = (2) - (3)</t>
    <phoneticPr fontId="3" type="noConversion"/>
  </si>
  <si>
    <t>Ｕ/Y：2026</t>
  </si>
  <si>
    <t>資料統計年月：115年05月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</si>
</sst>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D6" sqref="D6"/>
    </sheetView>
  </sheetViews>
  <sheetFormatPr defaultRowHeight="15.75" x14ac:dyDescent="0.25"/>
  <cols>
    <col min="1" max="1" bestFit="true" customWidth="true" width="19.28515625"/>
    <col min="2" max="2" customWidth="true" width="15.140625"/>
    <col min="3" max="3" customWidth="true" style="25" width="16.28515625"/>
    <col min="4" max="4" customWidth="true" width="15.0"/>
    <col min="5" max="5" customWidth="true" width="13.7109375"/>
    <col min="6" max="6" customWidth="true" width="14.5703125"/>
    <col min="7" max="7" customWidth="true" width="16.85546875"/>
    <col min="8" max="8" customWidth="true" width="14.42578125"/>
    <col min="9" max="9" customWidth="true" width="19.5703125"/>
    <col min="10" max="10" customWidth="true" width="19.140625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38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47</v>
      </c>
      <c r="B3" s="3"/>
      <c r="C3" s="4"/>
      <c r="D3" s="2"/>
      <c r="E3" s="5" t="s">
        <v>48</v>
      </c>
      <c r="F3" s="2"/>
      <c r="G3" s="2"/>
      <c r="H3" s="2"/>
      <c r="I3" s="6"/>
      <c r="J3" s="7" t="s">
        <v>35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45</v>
      </c>
      <c r="F4" s="47"/>
      <c r="G4" s="47"/>
      <c r="H4" s="48"/>
      <c r="I4" s="49" t="s">
        <v>3</v>
      </c>
      <c r="J4" s="51" t="s">
        <v>4</v>
      </c>
    </row>
    <row r="5" spans="1:10" x14ac:dyDescent="0.25">
      <c r="A5" s="45"/>
      <c r="B5" s="8" t="s">
        <v>5</v>
      </c>
      <c r="C5" s="9" t="s">
        <v>6</v>
      </c>
      <c r="D5" s="10" t="s">
        <v>7</v>
      </c>
      <c r="E5" s="8" t="s">
        <v>8</v>
      </c>
      <c r="F5" s="11" t="s">
        <v>9</v>
      </c>
      <c r="G5" s="11" t="s">
        <v>10</v>
      </c>
      <c r="H5" s="10" t="s">
        <v>11</v>
      </c>
      <c r="I5" s="50"/>
      <c r="J5" s="52"/>
    </row>
    <row r="6" spans="1:10" ht="16.5" thickBot="1" x14ac:dyDescent="0.3">
      <c r="A6" s="26" t="s">
        <v>12</v>
      </c>
      <c r="B6" s="27" t="s">
        <v>13</v>
      </c>
      <c r="C6" s="28" t="s">
        <v>13</v>
      </c>
      <c r="D6" s="29" t="s">
        <v>46</v>
      </c>
      <c r="E6" s="30" t="s">
        <v>14</v>
      </c>
      <c r="F6" s="31" t="s">
        <v>15</v>
      </c>
      <c r="G6" s="31" t="s">
        <v>16</v>
      </c>
      <c r="H6" s="29" t="s">
        <v>17</v>
      </c>
      <c r="I6" s="32" t="s">
        <v>44</v>
      </c>
      <c r="J6" s="33" t="s">
        <v>18</v>
      </c>
    </row>
    <row r="7" spans="1:10" ht="19.5" x14ac:dyDescent="0.3">
      <c r="A7" s="12" t="s">
        <v>19</v>
      </c>
      <c r="B7" s="13" t="n">
        <v>0.0</v>
      </c>
      <c r="C7" s="15" t="n">
        <v>0.0</v>
      </c>
      <c r="D7" s="14">
        <f>B7-C7</f>
      </c>
      <c r="E7" s="34" t="n">
        <v>0.075</v>
      </c>
      <c r="F7" s="15">
        <f>ROUND(($B$23*E7*-1),0)</f>
      </c>
      <c r="G7" s="15">
        <f>ROUND($C$23*E7,0)</f>
      </c>
      <c r="H7" s="14">
        <f>F7+G7</f>
      </c>
      <c r="I7" s="16">
        <f>ROUND((F7*0.06*-1),0)</f>
      </c>
      <c r="J7" s="14">
        <f>D7+H7+I7</f>
      </c>
    </row>
    <row r="8" spans="1:10" ht="19.5" x14ac:dyDescent="0.3">
      <c r="A8" s="17" t="s">
        <v>20</v>
      </c>
      <c r="B8" s="13" t="n">
        <v>0.0</v>
      </c>
      <c r="C8" s="18" t="n">
        <v>0.0</v>
      </c>
      <c r="D8" s="14">
        <f>B8-C8</f>
      </c>
      <c r="E8" s="34" t="n">
        <v>0.075</v>
      </c>
      <c r="F8" s="15">
        <f>ROUND(($B$23*E8*-1),0)</f>
      </c>
      <c r="G8" s="18">
        <f>ROUND($C$23*E8,0)</f>
      </c>
      <c r="H8" s="14">
        <f>F8+G8</f>
      </c>
      <c r="I8" s="16">
        <f>ROUND((F8*0.06*-1),0)</f>
      </c>
      <c r="J8" s="14">
        <f>D8+H8+I8</f>
      </c>
    </row>
    <row r="9" spans="1:10" ht="19.5" x14ac:dyDescent="0.3">
      <c r="A9" s="17" t="s">
        <v>21</v>
      </c>
      <c r="B9" s="13" t="n">
        <v>0.0</v>
      </c>
      <c r="C9" s="18" t="n">
        <v>0.0</v>
      </c>
      <c r="D9" s="14">
        <f>B9-C9</f>
      </c>
      <c r="E9" s="34" t="n">
        <v>0.075</v>
      </c>
      <c r="F9" s="15">
        <f>ROUND(($B$23*E9*-1),0)</f>
      </c>
      <c r="G9" s="18">
        <f>ROUND($C$23*E9,0)</f>
      </c>
      <c r="H9" s="14">
        <f>F9+G9</f>
      </c>
      <c r="I9" s="16">
        <f>ROUND((F9*0.06*-1),0)</f>
      </c>
      <c r="J9" s="14">
        <f>D9+H9+I9</f>
      </c>
    </row>
    <row r="10" spans="1:10" ht="19.5" x14ac:dyDescent="0.3">
      <c r="A10" s="17" t="s">
        <v>22</v>
      </c>
      <c r="B10" s="13" t="n">
        <v>0.0</v>
      </c>
      <c r="C10" s="18" t="n">
        <v>0.0</v>
      </c>
      <c r="D10" s="14">
        <f>B10-C10</f>
      </c>
      <c r="E10" s="34" t="n">
        <v>0.075</v>
      </c>
      <c r="F10" s="15">
        <f>ROUND(($B$23*E10*-1),0)</f>
      </c>
      <c r="G10" s="18">
        <f>ROUND($C$23*E10,0)</f>
      </c>
      <c r="H10" s="14">
        <f>F10+G10</f>
      </c>
      <c r="I10" s="16">
        <f>ROUND((F10*0.06*-1),0)</f>
      </c>
      <c r="J10" s="14">
        <f>D10+H10+I10</f>
      </c>
    </row>
    <row r="11" spans="1:10" ht="19.5" x14ac:dyDescent="0.3">
      <c r="A11" s="17" t="s">
        <v>23</v>
      </c>
      <c r="B11" s="13" t="n">
        <v>0.0</v>
      </c>
      <c r="C11" s="18" t="n">
        <v>0.0</v>
      </c>
      <c r="D11" s="14">
        <f>B11-C11</f>
      </c>
      <c r="E11" s="34" t="n">
        <v>0.075</v>
      </c>
      <c r="F11" s="15">
        <f>ROUND(($B$23*E11*-1),0)</f>
      </c>
      <c r="G11" s="18">
        <f>ROUND($C$23*E11,0)</f>
      </c>
      <c r="H11" s="14">
        <f>F11+G11</f>
      </c>
      <c r="I11" s="16">
        <f>ROUND((F11*0.06*-1),0)</f>
      </c>
      <c r="J11" s="14">
        <f>D11+H11+I11</f>
      </c>
    </row>
    <row r="12" spans="1:10" ht="19.5" x14ac:dyDescent="0.3">
      <c r="A12" s="17" t="s">
        <v>24</v>
      </c>
      <c r="B12" s="13" t="n">
        <v>0.0</v>
      </c>
      <c r="C12" s="18" t="n">
        <v>0.0</v>
      </c>
      <c r="D12" s="14">
        <f>B12-C12</f>
      </c>
      <c r="E12" s="34" t="n">
        <v>0.075</v>
      </c>
      <c r="F12" s="15">
        <f>ROUND(($B$23*E12*-1),0)</f>
      </c>
      <c r="G12" s="18">
        <f>ROUND($C$23*E12,0)</f>
      </c>
      <c r="H12" s="14">
        <f>F12+G12</f>
      </c>
      <c r="I12" s="16">
        <f>ROUND((F12*0.06*-1),0)</f>
      </c>
      <c r="J12" s="14">
        <f>D12+H12+I12</f>
      </c>
    </row>
    <row r="13" spans="1:10" ht="19.5" x14ac:dyDescent="0.3">
      <c r="A13" s="17" t="s">
        <v>25</v>
      </c>
      <c r="B13" s="13" t="n">
        <v>0.0</v>
      </c>
      <c r="C13" s="18" t="n">
        <v>0.0</v>
      </c>
      <c r="D13" s="14">
        <f>B13-C13</f>
      </c>
      <c r="E13" s="34" t="n">
        <v>0.075</v>
      </c>
      <c r="F13" s="15">
        <f>ROUND(($B$23*E13*-1),0)</f>
      </c>
      <c r="G13" s="18">
        <f>ROUND($C$23*E13,0)</f>
      </c>
      <c r="H13" s="14">
        <f>F13+G13</f>
      </c>
      <c r="I13" s="16">
        <f>ROUND((F13*0.06*-1),0)</f>
      </c>
      <c r="J13" s="14">
        <f>D13+H13+I13</f>
      </c>
    </row>
    <row r="14" spans="1:10" ht="19.5" x14ac:dyDescent="0.3">
      <c r="A14" s="17" t="s">
        <v>26</v>
      </c>
      <c r="B14" s="13" t="n">
        <v>0.0</v>
      </c>
      <c r="C14" s="18" t="n">
        <v>0.0</v>
      </c>
      <c r="D14" s="14">
        <f>B14-C14</f>
      </c>
      <c r="E14" s="34" t="n">
        <v>0.075</v>
      </c>
      <c r="F14" s="15">
        <f>ROUND(($B$23*E14*-1),0)</f>
      </c>
      <c r="G14" s="18">
        <f>ROUND($C$23*E14,0)</f>
      </c>
      <c r="H14" s="14">
        <f>F14+G14</f>
      </c>
      <c r="I14" s="16">
        <f>ROUND((F14*0.06*-1),0)</f>
      </c>
      <c r="J14" s="14">
        <f>D14+H14+I14</f>
      </c>
    </row>
    <row r="15" spans="1:10" ht="19.5" x14ac:dyDescent="0.3">
      <c r="A15" s="17" t="s">
        <v>28</v>
      </c>
      <c r="B15" s="13" t="n">
        <v>350123.0</v>
      </c>
      <c r="C15" s="18" t="n">
        <v>126931.0</v>
      </c>
      <c r="D15" s="14">
        <f>B15-C15</f>
      </c>
      <c r="E15" s="35" t="n">
        <v>0.06</v>
      </c>
      <c r="F15" s="15">
        <f>ROUND(($B$23*E15*-1),0)</f>
      </c>
      <c r="G15" s="18">
        <f>ROUND($C$23*E15,0)</f>
      </c>
      <c r="H15" s="14">
        <f>F15+G15</f>
      </c>
      <c r="I15" s="16">
        <f>ROUND((F15*0.06*-1),0)</f>
      </c>
      <c r="J15" s="14">
        <f>D15+H15+I15</f>
      </c>
    </row>
    <row r="16" spans="1:10" ht="19.5" x14ac:dyDescent="0.3">
      <c r="A16" s="17" t="s">
        <v>29</v>
      </c>
      <c r="B16" s="13" t="n">
        <v>0.0</v>
      </c>
      <c r="C16" s="18" t="n">
        <v>0.0</v>
      </c>
      <c r="D16" s="14">
        <f>B16-C16</f>
      </c>
      <c r="E16" s="35" t="n">
        <v>0.03</v>
      </c>
      <c r="F16" s="15">
        <f>ROUND(($B$23*E16*-1),0)</f>
      </c>
      <c r="G16" s="18">
        <f>ROUND($C$23*E16,0)</f>
      </c>
      <c r="H16" s="14">
        <f>F16+G16</f>
      </c>
      <c r="I16" s="16">
        <f>ROUND((F16*0.06*-1),0)</f>
      </c>
      <c r="J16" s="14">
        <f>D16+H16+I16</f>
      </c>
    </row>
    <row r="17" spans="1:12" ht="19.5" x14ac:dyDescent="0.3">
      <c r="A17" s="17" t="s">
        <v>30</v>
      </c>
      <c r="B17" s="13" t="n">
        <v>0.0</v>
      </c>
      <c r="C17" s="18" t="n">
        <v>0.0</v>
      </c>
      <c r="D17" s="14">
        <f>B17-C17</f>
      </c>
      <c r="E17" s="35" t="n">
        <v>0.02</v>
      </c>
      <c r="F17" s="15">
        <f>ROUND(($B$23*E17*-1),0)</f>
      </c>
      <c r="G17" s="18">
        <f>ROUND($C$23*E17,0)</f>
      </c>
      <c r="H17" s="14">
        <f>F17+G17</f>
      </c>
      <c r="I17" s="16">
        <f>ROUND((F17*0.06*-1),0)</f>
      </c>
      <c r="J17" s="14">
        <f>D17+H17+I17</f>
      </c>
    </row>
    <row r="18" spans="1:12" ht="19.5" x14ac:dyDescent="0.3">
      <c r="A18" s="17" t="s">
        <v>31</v>
      </c>
      <c r="B18" s="13" t="n">
        <v>0.0</v>
      </c>
      <c r="C18" s="18" t="n">
        <v>0.0</v>
      </c>
      <c r="D18" s="14">
        <f>B18-C18</f>
      </c>
      <c r="E18" s="35" t="n">
        <v>0.06</v>
      </c>
      <c r="F18" s="15">
        <f>ROUND(($B$23*E18*-1),0)</f>
      </c>
      <c r="G18" s="18">
        <f>ROUND($C$23*E18,0)</f>
      </c>
      <c r="H18" s="14">
        <f>F18+G18</f>
      </c>
      <c r="I18" s="16">
        <f>ROUND((F18*0.06*-1),0)</f>
      </c>
      <c r="J18" s="14">
        <f>D18+H18+I18</f>
      </c>
    </row>
    <row r="19" spans="1:12" ht="19.5" x14ac:dyDescent="0.3">
      <c r="A19" s="17" t="s">
        <v>32</v>
      </c>
      <c r="B19" s="13" t="n">
        <v>0.0</v>
      </c>
      <c r="C19" s="18" t="n">
        <v>0.0</v>
      </c>
      <c r="D19" s="14">
        <f>B19-C19</f>
      </c>
      <c r="E19" s="35" t="n">
        <v>0.05</v>
      </c>
      <c r="F19" s="15">
        <f>ROUND(($B$23*E19*-1),0)</f>
      </c>
      <c r="G19" s="18">
        <f>ROUND($C$23*E19,0)</f>
      </c>
      <c r="H19" s="14">
        <f>F19+G19</f>
      </c>
      <c r="I19" s="16">
        <f>ROUND((F19*0.06*-1),0)</f>
      </c>
      <c r="J19" s="14">
        <f>D19+H19+I19</f>
      </c>
    </row>
    <row r="20" spans="1:12" ht="19.5" x14ac:dyDescent="0.3">
      <c r="A20" s="17" t="s">
        <v>41</v>
      </c>
      <c r="B20" s="13" t="n">
        <v>0.0</v>
      </c>
      <c r="C20" s="18" t="n">
        <v>0.0</v>
      </c>
      <c r="D20" s="14">
        <f>B20-C20</f>
      </c>
      <c r="E20" s="35" t="n">
        <v>0.05</v>
      </c>
      <c r="F20" s="15">
        <f>ROUND(($B$23*E20*-1),0)</f>
      </c>
      <c r="G20" s="18">
        <f>ROUND($C$23*E20,0)</f>
      </c>
      <c r="H20" s="14">
        <f>F20+G20</f>
      </c>
      <c r="I20" s="16">
        <f>ROUND((F20*0.06*-1),0)</f>
      </c>
      <c r="J20" s="14">
        <f>D20+H20+I20</f>
      </c>
    </row>
    <row r="21" spans="1:12" ht="19.5" x14ac:dyDescent="0.3">
      <c r="A21" s="17" t="s">
        <v>33</v>
      </c>
      <c r="B21" s="13" t="n">
        <v>0.0</v>
      </c>
      <c r="C21" s="18" t="n">
        <v>0.0</v>
      </c>
      <c r="D21" s="14">
        <f>B21-C21</f>
      </c>
      <c r="E21" s="35" t="n">
        <v>0.06</v>
      </c>
      <c r="F21" s="15">
        <f>ROUND(($B$23*E21*-1),0)</f>
      </c>
      <c r="G21" s="18">
        <f>ROUND($C$23*E21,0)</f>
      </c>
      <c r="H21" s="14">
        <f>F21+G21</f>
      </c>
      <c r="I21" s="16">
        <f>ROUND((F21*0.06*-1),0)</f>
      </c>
      <c r="J21" s="19">
        <f>D21+H21+I21</f>
      </c>
    </row>
    <row r="22" spans="1:12" ht="19.5" x14ac:dyDescent="0.3">
      <c r="A22" s="17" t="s">
        <v>27</v>
      </c>
      <c r="B22" s="13" t="n">
        <v>0.0</v>
      </c>
      <c r="C22" s="18" t="n">
        <v>0.0</v>
      </c>
      <c r="D22" s="14">
        <f>B22-C22</f>
      </c>
      <c r="E22" s="35" t="n">
        <v>0.07</v>
      </c>
      <c r="F22" s="15">
        <f>-1*$B$23-SUM(F7:F21)</f>
      </c>
      <c r="G22" s="15">
        <f>ROUND($C$23-SUM(G7:G21),0)</f>
      </c>
      <c r="H22" s="14">
        <f>F22+G22</f>
      </c>
      <c r="I22" s="16">
        <f>ROUND((F22*0.06*-1),0)</f>
      </c>
      <c r="J22" s="14">
        <f>D22+H22+I22</f>
      </c>
    </row>
    <row r="23" spans="1:12" s="1" customFormat="1" ht="22.7" customHeight="1" thickBot="1" x14ac:dyDescent="0.35">
      <c r="A23" s="36" t="s">
        <v>34</v>
      </c>
      <c r="B23" s="37">
        <f>SUM(B7:B22)</f>
      </c>
      <c r="C23" s="22">
        <f>SUM(C7:C22)</f>
      </c>
      <c r="D23" s="38">
        <f>SUM(D7:D22)</f>
      </c>
      <c r="E23" s="39">
        <f>SUM(E7:E22)</f>
      </c>
      <c r="F23" s="22">
        <f>SUM(F7:F22)</f>
      </c>
      <c r="G23" s="22">
        <f>SUM(G7:G22)</f>
      </c>
      <c r="H23" s="21">
        <f>SUM(H7:H22)</f>
      </c>
      <c r="I23" s="20">
        <f>SUM(I7:I22)</f>
      </c>
      <c r="J23" s="21">
        <f>SUM(J7:J22)</f>
      </c>
    </row>
    <row r="24" spans="1:12" s="1" customFormat="1" ht="22.7" customHeight="1" x14ac:dyDescent="0.25">
      <c r="A24" s="23"/>
      <c r="B24" s="23"/>
      <c r="C24" s="25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39</v>
      </c>
      <c r="C25" s="25"/>
      <c r="D25" s="40" t="s">
        <v>37</v>
      </c>
      <c r="E25" s="40"/>
      <c r="F25" s="23"/>
      <c r="G25" s="23" t="s">
        <v>36</v>
      </c>
      <c r="H25" s="23"/>
      <c r="I25" s="23" t="s">
        <v>40</v>
      </c>
      <c r="J25" s="23"/>
      <c r="K25" s="23"/>
      <c r="L25" s="24"/>
    </row>
    <row r="26" spans="1:12" s="1" customFormat="1" ht="22.7" customHeight="1" x14ac:dyDescent="0.25">
      <c r="C26" s="25"/>
    </row>
    <row r="27" spans="1:12" s="1" customFormat="1" ht="22.7" customHeight="1" x14ac:dyDescent="0.25">
      <c r="C27" s="25"/>
    </row>
    <row r="28" spans="1:12" s="1" customFormat="1" ht="22.7" customHeight="1" x14ac:dyDescent="0.25">
      <c r="C28" s="25"/>
    </row>
    <row r="29" spans="1:12" s="1" customFormat="1" ht="22.7" customHeight="1" x14ac:dyDescent="0.25">
      <c r="C29" s="25"/>
    </row>
    <row r="30" spans="1:12" x14ac:dyDescent="0.25">
      <c r="C30" s="25"/>
    </row>
    <row r="31" spans="1:12" x14ac:dyDescent="0.25">
      <c r="C31" s="25"/>
    </row>
    <row r="32" spans="1:12" x14ac:dyDescent="0.25">
      <c r="C32" s="25"/>
    </row>
    <row r="33" spans="3:3" x14ac:dyDescent="0.25">
      <c r="C33" s="25"/>
    </row>
    <row r="34" spans="3:3" x14ac:dyDescent="0.25">
      <c r="C34" s="25"/>
    </row>
    <row r="35" spans="3:3" x14ac:dyDescent="0.25">
      <c r="C35" s="25"/>
    </row>
    <row r="36" spans="3:3" x14ac:dyDescent="0.25">
      <c r="C36" s="25"/>
    </row>
    <row r="37" spans="3:3" x14ac:dyDescent="0.25">
      <c r="C37" s="25"/>
    </row>
    <row r="38" spans="3:3" x14ac:dyDescent="0.25">
      <c r="C38" s="25"/>
    </row>
    <row r="39" spans="3:3" x14ac:dyDescent="0.25">
      <c r="C39" s="25"/>
    </row>
    <row r="40" spans="3:3" x14ac:dyDescent="0.25">
      <c r="C40" s="25"/>
    </row>
    <row r="41" spans="3:3" x14ac:dyDescent="0.25">
      <c r="C41" s="25"/>
    </row>
    <row r="42" spans="3:3" x14ac:dyDescent="0.25">
      <c r="C42" s="25"/>
    </row>
    <row r="43" spans="3:3" x14ac:dyDescent="0.25">
      <c r="C43" s="25"/>
    </row>
    <row r="44" spans="3:3" x14ac:dyDescent="0.25">
      <c r="C44" s="25"/>
    </row>
    <row r="45" spans="3:3" x14ac:dyDescent="0.25">
      <c r="C45" s="25"/>
    </row>
    <row r="46" spans="3:3" x14ac:dyDescent="0.25">
      <c r="C46" s="25"/>
    </row>
    <row r="47" spans="3:3" x14ac:dyDescent="0.25">
      <c r="C47" s="25"/>
    </row>
    <row r="48" spans="3:3" x14ac:dyDescent="0.25">
      <c r="C48" s="25"/>
    </row>
    <row r="49" spans="3:3" x14ac:dyDescent="0.25">
      <c r="C49" s="25"/>
    </row>
    <row r="50" spans="3:3" x14ac:dyDescent="0.25">
      <c r="C50" s="25"/>
    </row>
    <row r="51" spans="3:3" x14ac:dyDescent="0.25">
      <c r="C51" s="25"/>
    </row>
    <row r="52" spans="3:3" x14ac:dyDescent="0.25">
      <c r="C52" s="25"/>
    </row>
    <row r="53" spans="3:3" x14ac:dyDescent="0.25">
      <c r="C53" s="25"/>
    </row>
    <row r="54" spans="3:3" x14ac:dyDescent="0.25">
      <c r="C54" s="25"/>
    </row>
    <row r="55" spans="3:3" x14ac:dyDescent="0.25">
      <c r="C55" s="25"/>
    </row>
    <row r="56" spans="3:3" x14ac:dyDescent="0.25">
      <c r="C56" s="25"/>
    </row>
    <row r="57" spans="3:3" x14ac:dyDescent="0.25">
      <c r="C57" s="25"/>
    </row>
    <row r="58" spans="3:3" x14ac:dyDescent="0.25">
      <c r="C58" s="25"/>
    </row>
    <row r="59" spans="3:3" x14ac:dyDescent="0.25">
      <c r="C59" s="25"/>
    </row>
    <row r="60" spans="3:3" x14ac:dyDescent="0.25">
      <c r="C60" s="25"/>
    </row>
    <row r="61" spans="3:3" x14ac:dyDescent="0.25">
      <c r="C61" s="25"/>
    </row>
    <row r="62" spans="3:3" x14ac:dyDescent="0.25">
      <c r="C62" s="25"/>
    </row>
    <row r="63" spans="3:3" x14ac:dyDescent="0.25">
      <c r="C63" s="25"/>
    </row>
    <row r="64" spans="3:3" x14ac:dyDescent="0.25">
      <c r="C64" s="25"/>
    </row>
    <row r="65" spans="3:3" x14ac:dyDescent="0.25">
      <c r="C65" s="25"/>
    </row>
    <row r="66" spans="3:3" x14ac:dyDescent="0.25">
      <c r="C66" s="25"/>
    </row>
    <row r="67" spans="3:3" x14ac:dyDescent="0.25">
      <c r="C67" s="25"/>
    </row>
    <row r="68" spans="3:3" x14ac:dyDescent="0.25">
      <c r="C68" s="25"/>
    </row>
    <row r="69" spans="3:3" x14ac:dyDescent="0.25">
      <c r="C69" s="25"/>
    </row>
    <row r="70" spans="3:3" x14ac:dyDescent="0.25">
      <c r="C70" s="25"/>
    </row>
    <row r="71" spans="3:3" x14ac:dyDescent="0.25">
      <c r="C71" s="25"/>
    </row>
    <row r="72" spans="3:3" x14ac:dyDescent="0.25">
      <c r="C72" s="25"/>
    </row>
    <row r="73" spans="3:3" x14ac:dyDescent="0.25">
      <c r="C73" s="25"/>
    </row>
    <row r="74" spans="3:3" x14ac:dyDescent="0.25">
      <c r="C74" s="25"/>
    </row>
    <row r="75" spans="3:3" x14ac:dyDescent="0.25">
      <c r="C75" s="25"/>
    </row>
    <row r="76" spans="3:3" x14ac:dyDescent="0.25">
      <c r="C76" s="25"/>
    </row>
    <row r="77" spans="3:3" x14ac:dyDescent="0.25">
      <c r="C77" s="25"/>
    </row>
    <row r="78" spans="3:3" x14ac:dyDescent="0.25">
      <c r="C78" s="25"/>
    </row>
    <row r="79" spans="3:3" x14ac:dyDescent="0.25">
      <c r="C79" s="25"/>
    </row>
    <row r="80" spans="3:3" x14ac:dyDescent="0.25">
      <c r="C80" s="25"/>
    </row>
    <row r="81" spans="3:3" x14ac:dyDescent="0.25">
      <c r="C81" s="25"/>
    </row>
    <row r="82" spans="3:3" x14ac:dyDescent="0.25">
      <c r="C82" s="25"/>
    </row>
    <row r="83" spans="3:3" x14ac:dyDescent="0.25">
      <c r="C83" s="25"/>
    </row>
    <row r="84" spans="3:3" x14ac:dyDescent="0.25">
      <c r="C84" s="25"/>
    </row>
    <row r="85" spans="3:3" x14ac:dyDescent="0.25">
      <c r="C85" s="25"/>
    </row>
    <row r="86" spans="3:3" x14ac:dyDescent="0.25">
      <c r="C86" s="25"/>
    </row>
    <row r="87" spans="3:3" x14ac:dyDescent="0.25">
      <c r="C87" s="25"/>
    </row>
    <row r="88" spans="3:3" x14ac:dyDescent="0.25">
      <c r="C88" s="25"/>
    </row>
    <row r="89" spans="3:3" x14ac:dyDescent="0.25">
      <c r="C89" s="25"/>
    </row>
    <row r="90" spans="3:3" x14ac:dyDescent="0.25">
      <c r="C90" s="25"/>
    </row>
    <row r="91" spans="3:3" x14ac:dyDescent="0.25">
      <c r="C91" s="25"/>
    </row>
    <row r="92" spans="3:3" x14ac:dyDescent="0.25">
      <c r="C92" s="25"/>
    </row>
    <row r="93" spans="3:3" x14ac:dyDescent="0.25">
      <c r="C93" s="25"/>
    </row>
    <row r="94" spans="3:3" x14ac:dyDescent="0.25">
      <c r="C94" s="25"/>
    </row>
    <row r="95" spans="3:3" x14ac:dyDescent="0.25">
      <c r="C95" s="25"/>
    </row>
    <row r="96" spans="3:3" x14ac:dyDescent="0.25">
      <c r="C96" s="25"/>
    </row>
    <row r="97" spans="3:3" x14ac:dyDescent="0.25">
      <c r="C97" s="25"/>
    </row>
    <row r="98" spans="3:3" x14ac:dyDescent="0.25">
      <c r="C98" s="25"/>
    </row>
    <row r="99" spans="3:3" x14ac:dyDescent="0.25">
      <c r="C99" s="25"/>
    </row>
    <row r="100" spans="3:3" x14ac:dyDescent="0.25">
      <c r="C100" s="25"/>
    </row>
    <row r="101" spans="3:3" x14ac:dyDescent="0.25">
      <c r="C101" s="25"/>
    </row>
    <row r="102" spans="3:3" x14ac:dyDescent="0.25">
      <c r="C102" s="25"/>
    </row>
    <row r="103" spans="3:3" x14ac:dyDescent="0.25">
      <c r="C103" s="25"/>
    </row>
    <row r="104" spans="3:3" x14ac:dyDescent="0.25">
      <c r="C104" s="25"/>
    </row>
    <row r="105" spans="3:3" x14ac:dyDescent="0.25">
      <c r="C105" s="25"/>
    </row>
    <row r="106" spans="3:3" x14ac:dyDescent="0.25">
      <c r="C106" s="25"/>
    </row>
    <row r="107" spans="3:3" x14ac:dyDescent="0.25">
      <c r="C107" s="25"/>
    </row>
    <row r="108" spans="3:3" x14ac:dyDescent="0.25">
      <c r="C108" s="25"/>
    </row>
    <row r="109" spans="3:3" x14ac:dyDescent="0.25">
      <c r="C109" s="25"/>
    </row>
    <row r="110" spans="3:3" x14ac:dyDescent="0.25">
      <c r="C110" s="25"/>
    </row>
    <row r="111" spans="3:3" x14ac:dyDescent="0.25">
      <c r="C111" s="25"/>
    </row>
    <row r="112" spans="3:3" x14ac:dyDescent="0.25">
      <c r="C112" s="25"/>
    </row>
    <row r="113" spans="3:3" x14ac:dyDescent="0.25">
      <c r="C113" s="25"/>
    </row>
    <row r="114" spans="3:3" x14ac:dyDescent="0.25">
      <c r="C114" s="25"/>
    </row>
    <row r="115" spans="3:3" x14ac:dyDescent="0.25">
      <c r="C115" s="25"/>
    </row>
    <row r="116" spans="3:3" x14ac:dyDescent="0.25">
      <c r="C116" s="25"/>
    </row>
    <row r="117" spans="3:3" x14ac:dyDescent="0.25">
      <c r="C117" s="25"/>
    </row>
    <row r="118" spans="3:3" x14ac:dyDescent="0.25">
      <c r="C118" s="25"/>
    </row>
    <row r="119" spans="3:3" x14ac:dyDescent="0.25">
      <c r="C119" s="25"/>
    </row>
    <row r="120" spans="3:3" x14ac:dyDescent="0.25">
      <c r="C120" s="25"/>
    </row>
    <row r="121" spans="3:3" x14ac:dyDescent="0.25">
      <c r="C121" s="25"/>
    </row>
    <row r="122" spans="3:3" x14ac:dyDescent="0.25">
      <c r="C122" s="25"/>
    </row>
    <row r="123" spans="3:3" x14ac:dyDescent="0.25">
      <c r="C123" s="25"/>
    </row>
    <row r="124" spans="3:3" x14ac:dyDescent="0.25">
      <c r="C124" s="25"/>
    </row>
    <row r="125" spans="3:3" x14ac:dyDescent="0.25">
      <c r="C125" s="25"/>
    </row>
    <row r="126" spans="3:3" x14ac:dyDescent="0.25">
      <c r="C126" s="25"/>
    </row>
    <row r="127" spans="3:3" x14ac:dyDescent="0.25">
      <c r="C127" s="25"/>
    </row>
    <row r="128" spans="3:3" x14ac:dyDescent="0.25">
      <c r="C128" s="25"/>
    </row>
    <row r="129" spans="3:3" x14ac:dyDescent="0.25">
      <c r="C129" s="25"/>
    </row>
    <row r="130" spans="3:3" x14ac:dyDescent="0.25">
      <c r="C130" s="25"/>
    </row>
    <row r="131" spans="3:3" x14ac:dyDescent="0.25">
      <c r="C131" s="25"/>
    </row>
    <row r="132" spans="3:3" x14ac:dyDescent="0.25">
      <c r="C132" s="25"/>
    </row>
    <row r="133" spans="3:3" x14ac:dyDescent="0.25">
      <c r="C133" s="25"/>
    </row>
    <row r="134" spans="3:3" x14ac:dyDescent="0.25">
      <c r="C134" s="25"/>
    </row>
    <row r="135" spans="3:3" x14ac:dyDescent="0.25">
      <c r="C135" s="25"/>
    </row>
    <row r="136" spans="3:3" x14ac:dyDescent="0.25">
      <c r="C136" s="25"/>
    </row>
    <row r="137" spans="3:3" x14ac:dyDescent="0.25">
      <c r="C137" s="25"/>
    </row>
    <row r="138" spans="3:3" x14ac:dyDescent="0.25">
      <c r="C138" s="25"/>
    </row>
    <row r="139" spans="3:3" x14ac:dyDescent="0.25">
      <c r="C139" s="25"/>
    </row>
    <row r="140" spans="3:3" x14ac:dyDescent="0.25">
      <c r="C140" s="25"/>
    </row>
    <row r="141" spans="3:3" x14ac:dyDescent="0.25">
      <c r="C141" s="25"/>
    </row>
    <row r="142" spans="3:3" x14ac:dyDescent="0.25">
      <c r="C142" s="25"/>
    </row>
    <row r="143" spans="3:3" x14ac:dyDescent="0.25">
      <c r="C143" s="25"/>
    </row>
    <row r="144" spans="3:3" x14ac:dyDescent="0.25">
      <c r="C144" s="25"/>
    </row>
    <row r="145" spans="3:3" x14ac:dyDescent="0.25">
      <c r="C145" s="25"/>
    </row>
    <row r="146" spans="3:3" x14ac:dyDescent="0.25">
      <c r="C146" s="25"/>
    </row>
    <row r="147" spans="3:3" x14ac:dyDescent="0.25">
      <c r="C147" s="25"/>
    </row>
    <row r="148" spans="3:3" x14ac:dyDescent="0.25">
      <c r="C148" s="25"/>
    </row>
    <row r="149" spans="3:3" x14ac:dyDescent="0.25">
      <c r="C149" s="25"/>
    </row>
    <row r="150" spans="3:3" x14ac:dyDescent="0.25">
      <c r="C150" s="25"/>
    </row>
    <row r="151" spans="3:3" x14ac:dyDescent="0.25">
      <c r="C151" s="25"/>
    </row>
    <row r="152" spans="3:3" x14ac:dyDescent="0.25">
      <c r="C152" s="25"/>
    </row>
    <row r="153" spans="3:3" x14ac:dyDescent="0.25">
      <c r="C153" s="25"/>
    </row>
    <row r="154" spans="3:3" x14ac:dyDescent="0.25">
      <c r="C154" s="25"/>
    </row>
    <row r="155" spans="3:3" x14ac:dyDescent="0.25">
      <c r="C155" s="25"/>
    </row>
    <row r="156" spans="3:3" x14ac:dyDescent="0.25">
      <c r="C156" s="25"/>
    </row>
    <row r="157" spans="3:3" x14ac:dyDescent="0.25">
      <c r="C157" s="25"/>
    </row>
    <row r="158" spans="3:3" x14ac:dyDescent="0.25">
      <c r="C158" s="25"/>
    </row>
    <row r="159" spans="3:3" x14ac:dyDescent="0.25">
      <c r="C159" s="25"/>
    </row>
    <row r="160" spans="3:3" x14ac:dyDescent="0.25">
      <c r="C160" s="25"/>
    </row>
    <row r="161" spans="3:3" x14ac:dyDescent="0.25">
      <c r="C161" s="25"/>
    </row>
    <row r="162" spans="3:3" x14ac:dyDescent="0.25">
      <c r="C162" s="25"/>
    </row>
    <row r="163" spans="3:3" x14ac:dyDescent="0.25">
      <c r="C163" s="25"/>
    </row>
    <row r="164" spans="3:3" x14ac:dyDescent="0.25">
      <c r="C164" s="25"/>
    </row>
    <row r="165" spans="3:3" x14ac:dyDescent="0.25">
      <c r="C165" s="25"/>
    </row>
    <row r="166" spans="3:3" x14ac:dyDescent="0.25">
      <c r="C166" s="25"/>
    </row>
    <row r="167" spans="3:3" x14ac:dyDescent="0.25">
      <c r="C167" s="25"/>
    </row>
    <row r="168" spans="3:3" x14ac:dyDescent="0.25">
      <c r="C168" s="25"/>
    </row>
    <row r="169" spans="3:3" x14ac:dyDescent="0.25">
      <c r="C169" s="25"/>
    </row>
    <row r="170" spans="3:3" x14ac:dyDescent="0.25">
      <c r="C170" s="25"/>
    </row>
    <row r="171" spans="3:3" x14ac:dyDescent="0.25">
      <c r="C171" s="25"/>
    </row>
    <row r="172" spans="3:3" x14ac:dyDescent="0.25">
      <c r="C172" s="25"/>
    </row>
    <row r="173" spans="3:3" x14ac:dyDescent="0.25">
      <c r="C173" s="25"/>
    </row>
    <row r="174" spans="3:3" x14ac:dyDescent="0.25">
      <c r="C174" s="25"/>
    </row>
    <row r="175" spans="3:3" x14ac:dyDescent="0.25">
      <c r="C175" s="25"/>
    </row>
    <row r="176" spans="3:3" x14ac:dyDescent="0.25">
      <c r="C176" s="25"/>
    </row>
    <row r="177" spans="3:3" x14ac:dyDescent="0.25">
      <c r="C177" s="25"/>
    </row>
    <row r="178" spans="3:3" x14ac:dyDescent="0.25">
      <c r="C178" s="25"/>
    </row>
    <row r="179" spans="3:3" x14ac:dyDescent="0.25">
      <c r="C179" s="25"/>
    </row>
    <row r="180" spans="3:3" x14ac:dyDescent="0.25">
      <c r="C180" s="25"/>
    </row>
    <row r="181" spans="3:3" x14ac:dyDescent="0.25">
      <c r="C181" s="25"/>
    </row>
    <row r="182" spans="3:3" x14ac:dyDescent="0.25">
      <c r="C182" s="25"/>
    </row>
    <row r="183" spans="3:3" x14ac:dyDescent="0.25">
      <c r="C183" s="25"/>
    </row>
    <row r="184" spans="3:3" x14ac:dyDescent="0.25">
      <c r="C184" s="25"/>
    </row>
    <row r="185" spans="3:3" x14ac:dyDescent="0.25">
      <c r="C185" s="25"/>
    </row>
    <row r="186" spans="3:3" x14ac:dyDescent="0.25">
      <c r="C186" s="25"/>
    </row>
    <row r="187" spans="3:3" x14ac:dyDescent="0.25">
      <c r="C187" s="25"/>
    </row>
    <row r="188" spans="3:3" x14ac:dyDescent="0.25">
      <c r="C188" s="25"/>
    </row>
    <row r="189" spans="3:3" x14ac:dyDescent="0.25">
      <c r="C189" s="25"/>
    </row>
    <row r="190" spans="3:3" x14ac:dyDescent="0.25">
      <c r="C190" s="25"/>
    </row>
    <row r="191" spans="3:3" x14ac:dyDescent="0.25">
      <c r="C191" s="25"/>
    </row>
    <row r="192" spans="3:3" x14ac:dyDescent="0.25">
      <c r="C192" s="25"/>
    </row>
    <row r="193" spans="3:3" x14ac:dyDescent="0.25">
      <c r="C193" s="25"/>
    </row>
    <row r="194" spans="3:3" x14ac:dyDescent="0.25">
      <c r="C194" s="25"/>
    </row>
    <row r="195" spans="3:3" x14ac:dyDescent="0.25">
      <c r="C195" s="25"/>
    </row>
    <row r="196" spans="3:3" x14ac:dyDescent="0.25">
      <c r="C196" s="25"/>
    </row>
    <row r="197" spans="3:3" x14ac:dyDescent="0.25">
      <c r="C197" s="25"/>
    </row>
    <row r="198" spans="3:3" x14ac:dyDescent="0.25">
      <c r="C198" s="25"/>
    </row>
    <row r="199" spans="3:3" x14ac:dyDescent="0.25">
      <c r="C199" s="25"/>
    </row>
    <row r="200" spans="3:3" x14ac:dyDescent="0.25">
      <c r="C200" s="25"/>
    </row>
    <row r="201" spans="3:3" x14ac:dyDescent="0.25">
      <c r="C201" s="25"/>
    </row>
    <row r="202" spans="3:3" x14ac:dyDescent="0.25">
      <c r="C202" s="25"/>
    </row>
    <row r="203" spans="3:3" x14ac:dyDescent="0.25">
      <c r="C203" s="25"/>
    </row>
    <row r="204" spans="3:3" x14ac:dyDescent="0.25">
      <c r="C204" s="25"/>
    </row>
    <row r="205" spans="3:3" x14ac:dyDescent="0.25">
      <c r="C205" s="25"/>
    </row>
    <row r="206" spans="3:3" x14ac:dyDescent="0.25">
      <c r="C206" s="25"/>
    </row>
    <row r="207" spans="3:3" x14ac:dyDescent="0.25">
      <c r="C207" s="25"/>
    </row>
    <row r="208" spans="3:3" x14ac:dyDescent="0.25">
      <c r="C208" s="25"/>
    </row>
    <row r="209" spans="3:3" x14ac:dyDescent="0.25">
      <c r="C209" s="25"/>
    </row>
    <row r="210" spans="3:3" x14ac:dyDescent="0.25">
      <c r="C210" s="25"/>
    </row>
    <row r="211" spans="3:3" x14ac:dyDescent="0.25">
      <c r="C211" s="25"/>
    </row>
    <row r="212" spans="3:3" x14ac:dyDescent="0.25">
      <c r="C212" s="25"/>
    </row>
    <row r="213" spans="3:3" x14ac:dyDescent="0.25">
      <c r="C213" s="25"/>
    </row>
    <row r="214" spans="3:3" x14ac:dyDescent="0.25">
      <c r="C214" s="25"/>
    </row>
    <row r="215" spans="3:3" x14ac:dyDescent="0.25">
      <c r="C215" s="25"/>
    </row>
    <row r="216" spans="3:3" x14ac:dyDescent="0.25">
      <c r="C216" s="25"/>
    </row>
    <row r="217" spans="3:3" x14ac:dyDescent="0.25">
      <c r="C217" s="25"/>
    </row>
    <row r="218" spans="3:3" x14ac:dyDescent="0.25">
      <c r="C218" s="25"/>
    </row>
    <row r="219" spans="3:3" x14ac:dyDescent="0.25">
      <c r="C219" s="25"/>
    </row>
    <row r="220" spans="3:3" x14ac:dyDescent="0.25">
      <c r="C220" s="25"/>
    </row>
    <row r="221" spans="3:3" x14ac:dyDescent="0.25">
      <c r="C221" s="25"/>
    </row>
    <row r="222" spans="3:3" x14ac:dyDescent="0.25">
      <c r="C222" s="25"/>
    </row>
    <row r="223" spans="3:3" x14ac:dyDescent="0.25">
      <c r="C223" s="25"/>
    </row>
    <row r="224" spans="3:3" x14ac:dyDescent="0.25">
      <c r="C224" s="25"/>
    </row>
    <row r="225" spans="3:3" x14ac:dyDescent="0.25">
      <c r="C225" s="25"/>
    </row>
    <row r="226" spans="3:3" x14ac:dyDescent="0.25">
      <c r="C226" s="25"/>
    </row>
    <row r="227" spans="3:3" x14ac:dyDescent="0.25">
      <c r="C227" s="25"/>
    </row>
    <row r="228" spans="3:3" x14ac:dyDescent="0.25">
      <c r="C228" s="25"/>
    </row>
    <row r="229" spans="3:3" x14ac:dyDescent="0.25">
      <c r="C229" s="25"/>
    </row>
    <row r="230" spans="3:3" x14ac:dyDescent="0.25">
      <c r="C230" s="25"/>
    </row>
    <row r="231" spans="3:3" x14ac:dyDescent="0.25">
      <c r="C231" s="25"/>
    </row>
    <row r="232" spans="3:3" x14ac:dyDescent="0.25">
      <c r="C232" s="25"/>
    </row>
    <row r="233" spans="3:3" x14ac:dyDescent="0.25">
      <c r="C233" s="25"/>
    </row>
    <row r="234" spans="3:3" x14ac:dyDescent="0.25">
      <c r="C234" s="25"/>
    </row>
    <row r="235" spans="3:3" x14ac:dyDescent="0.25">
      <c r="C235" s="25"/>
    </row>
    <row r="236" spans="3:3" x14ac:dyDescent="0.25">
      <c r="C236" s="25"/>
    </row>
    <row r="237" spans="3:3" x14ac:dyDescent="0.25">
      <c r="C237" s="25"/>
    </row>
    <row r="238" spans="3:3" x14ac:dyDescent="0.25">
      <c r="C238" s="25"/>
    </row>
    <row r="239" spans="3:3" x14ac:dyDescent="0.25">
      <c r="C239" s="25"/>
    </row>
    <row r="240" spans="3:3" x14ac:dyDescent="0.25">
      <c r="C240" s="25"/>
    </row>
    <row r="241" spans="3:3" x14ac:dyDescent="0.25">
      <c r="C241" s="25"/>
    </row>
    <row r="242" spans="3:3" x14ac:dyDescent="0.25">
      <c r="C242" s="25"/>
    </row>
    <row r="243" spans="3:3" x14ac:dyDescent="0.25">
      <c r="C243" s="25"/>
    </row>
    <row r="244" spans="3:3" x14ac:dyDescent="0.25">
      <c r="C244" s="25"/>
    </row>
    <row r="245" spans="3:3" x14ac:dyDescent="0.25">
      <c r="C245" s="25"/>
    </row>
    <row r="246" spans="3:3" x14ac:dyDescent="0.25">
      <c r="C246" s="25"/>
    </row>
    <row r="247" spans="3:3" x14ac:dyDescent="0.25">
      <c r="C247" s="25"/>
    </row>
    <row r="248" spans="3:3" x14ac:dyDescent="0.25">
      <c r="C248" s="25"/>
    </row>
    <row r="249" spans="3:3" x14ac:dyDescent="0.25">
      <c r="C249" s="25"/>
    </row>
    <row r="250" spans="3:3" x14ac:dyDescent="0.25">
      <c r="C250" s="25"/>
    </row>
    <row r="251" spans="3:3" x14ac:dyDescent="0.25">
      <c r="C251" s="25"/>
    </row>
    <row r="252" spans="3:3" x14ac:dyDescent="0.25">
      <c r="C252" s="25"/>
    </row>
    <row r="253" spans="3:3" x14ac:dyDescent="0.25">
      <c r="C253" s="25"/>
    </row>
    <row r="254" spans="3:3" x14ac:dyDescent="0.25">
      <c r="C254" s="25"/>
    </row>
    <row r="255" spans="3:3" x14ac:dyDescent="0.25">
      <c r="C255" s="25"/>
    </row>
    <row r="256" spans="3:3" x14ac:dyDescent="0.25">
      <c r="C256" s="25"/>
    </row>
    <row r="257" spans="3:3" x14ac:dyDescent="0.25">
      <c r="C257" s="25"/>
    </row>
    <row r="258" spans="3:3" x14ac:dyDescent="0.25">
      <c r="C258" s="25"/>
    </row>
    <row r="259" spans="3:3" x14ac:dyDescent="0.25">
      <c r="C259" s="25"/>
    </row>
    <row r="260" spans="3:3" x14ac:dyDescent="0.25">
      <c r="C260" s="25"/>
    </row>
    <row r="261" spans="3:3" x14ac:dyDescent="0.25">
      <c r="C261" s="25"/>
    </row>
    <row r="262" spans="3:3" x14ac:dyDescent="0.25">
      <c r="C262" s="25"/>
    </row>
    <row r="263" spans="3:3" x14ac:dyDescent="0.25">
      <c r="C263" s="25"/>
    </row>
    <row r="264" spans="3:3" x14ac:dyDescent="0.25">
      <c r="C264" s="25"/>
    </row>
    <row r="265" spans="3:3" x14ac:dyDescent="0.25">
      <c r="C265" s="25"/>
    </row>
    <row r="266" spans="3:3" x14ac:dyDescent="0.25">
      <c r="C266" s="25"/>
    </row>
    <row r="267" spans="3:3" x14ac:dyDescent="0.25">
      <c r="C267" s="25"/>
    </row>
    <row r="268" spans="3:3" x14ac:dyDescent="0.25">
      <c r="C268" s="25"/>
    </row>
    <row r="269" spans="3:3" x14ac:dyDescent="0.25">
      <c r="C269" s="25"/>
    </row>
    <row r="270" spans="3:3" x14ac:dyDescent="0.25">
      <c r="C270" s="25"/>
    </row>
    <row r="271" spans="3:3" x14ac:dyDescent="0.25">
      <c r="C271" s="25"/>
    </row>
    <row r="272" spans="3:3" x14ac:dyDescent="0.25">
      <c r="C272" s="25"/>
    </row>
    <row r="273" spans="3:3" x14ac:dyDescent="0.25">
      <c r="C273" s="25"/>
    </row>
    <row r="274" spans="3:3" x14ac:dyDescent="0.25">
      <c r="C274" s="25"/>
    </row>
    <row r="275" spans="3:3" x14ac:dyDescent="0.25">
      <c r="C275" s="25"/>
    </row>
    <row r="276" spans="3:3" x14ac:dyDescent="0.25">
      <c r="C276" s="25"/>
    </row>
    <row r="277" spans="3:3" x14ac:dyDescent="0.25">
      <c r="C277" s="25"/>
    </row>
    <row r="278" spans="3:3" x14ac:dyDescent="0.25">
      <c r="C278" s="25"/>
    </row>
    <row r="279" spans="3:3" x14ac:dyDescent="0.25">
      <c r="C279" s="25"/>
    </row>
    <row r="280" spans="3:3" x14ac:dyDescent="0.25">
      <c r="C280" s="25"/>
    </row>
    <row r="281" spans="3:3" x14ac:dyDescent="0.25">
      <c r="C281" s="25"/>
    </row>
    <row r="282" spans="3:3" x14ac:dyDescent="0.25">
      <c r="C282" s="25"/>
    </row>
    <row r="283" spans="3:3" x14ac:dyDescent="0.25">
      <c r="C283" s="25"/>
    </row>
    <row r="284" spans="3:3" x14ac:dyDescent="0.25">
      <c r="C284" s="25"/>
    </row>
    <row r="285" spans="3:3" x14ac:dyDescent="0.25">
      <c r="C285" s="25"/>
    </row>
    <row r="286" spans="3:3" x14ac:dyDescent="0.25">
      <c r="C286" s="25"/>
    </row>
    <row r="287" spans="3:3" x14ac:dyDescent="0.25">
      <c r="C287" s="25"/>
    </row>
    <row r="288" spans="3:3" x14ac:dyDescent="0.25">
      <c r="C288" s="25"/>
    </row>
    <row r="289" spans="3:3" x14ac:dyDescent="0.25">
      <c r="C289" s="25"/>
    </row>
    <row r="290" spans="3:3" x14ac:dyDescent="0.25">
      <c r="C290" s="25"/>
    </row>
    <row r="291" spans="3:3" x14ac:dyDescent="0.25">
      <c r="C291" s="25"/>
    </row>
    <row r="292" spans="3:3" x14ac:dyDescent="0.25">
      <c r="C292" s="25"/>
    </row>
    <row r="293" spans="3:3" x14ac:dyDescent="0.25">
      <c r="C293" s="25"/>
    </row>
    <row r="294" spans="3:3" x14ac:dyDescent="0.25">
      <c r="C294" s="25"/>
    </row>
    <row r="295" spans="3:3" x14ac:dyDescent="0.25">
      <c r="C295" s="25"/>
    </row>
    <row r="296" spans="3:3" x14ac:dyDescent="0.25">
      <c r="C296" s="25"/>
    </row>
    <row r="297" spans="3:3" x14ac:dyDescent="0.25">
      <c r="C297" s="25"/>
    </row>
    <row r="298" spans="3:3" x14ac:dyDescent="0.25">
      <c r="C298" s="25"/>
    </row>
    <row r="299" spans="3:3" x14ac:dyDescent="0.25">
      <c r="C299" s="25"/>
    </row>
    <row r="300" spans="3:3" x14ac:dyDescent="0.25">
      <c r="C300" s="25"/>
    </row>
    <row r="301" spans="3:3" x14ac:dyDescent="0.25">
      <c r="C301" s="25"/>
    </row>
    <row r="302" spans="3:3" x14ac:dyDescent="0.25">
      <c r="C302" s="25"/>
    </row>
    <row r="303" spans="3:3" x14ac:dyDescent="0.25">
      <c r="C303" s="25"/>
    </row>
    <row r="304" spans="3:3" x14ac:dyDescent="0.25">
      <c r="C304" s="25"/>
    </row>
    <row r="305" spans="3:3" x14ac:dyDescent="0.25">
      <c r="C305" s="25"/>
    </row>
    <row r="306" spans="3:3" x14ac:dyDescent="0.25">
      <c r="C306" s="25"/>
    </row>
    <row r="307" spans="3:3" x14ac:dyDescent="0.25">
      <c r="C307" s="25"/>
    </row>
    <row r="308" spans="3:3" x14ac:dyDescent="0.25">
      <c r="C308" s="25"/>
    </row>
    <row r="309" spans="3:3" x14ac:dyDescent="0.25">
      <c r="C309" s="25"/>
    </row>
    <row r="310" spans="3:3" x14ac:dyDescent="0.25">
      <c r="C310" s="25"/>
    </row>
    <row r="311" spans="3:3" x14ac:dyDescent="0.25">
      <c r="C311" s="25"/>
    </row>
    <row r="312" spans="3:3" x14ac:dyDescent="0.25">
      <c r="C312" s="25"/>
    </row>
    <row r="313" spans="3:3" x14ac:dyDescent="0.25">
      <c r="C313" s="25"/>
    </row>
    <row r="314" spans="3:3" x14ac:dyDescent="0.25">
      <c r="C314" s="25"/>
    </row>
    <row r="315" spans="3:3" x14ac:dyDescent="0.25">
      <c r="C315" s="25"/>
    </row>
    <row r="316" spans="3:3" x14ac:dyDescent="0.25">
      <c r="C316" s="25"/>
    </row>
    <row r="317" spans="3:3" x14ac:dyDescent="0.25">
      <c r="C317" s="25"/>
    </row>
    <row r="318" spans="3:3" x14ac:dyDescent="0.25">
      <c r="C318" s="25"/>
    </row>
    <row r="319" spans="3:3" x14ac:dyDescent="0.25">
      <c r="C319" s="25"/>
    </row>
    <row r="320" spans="3:3" x14ac:dyDescent="0.25">
      <c r="C320" s="25"/>
    </row>
    <row r="321" spans="3:3" x14ac:dyDescent="0.25">
      <c r="C321" s="25"/>
    </row>
    <row r="322" spans="3:3" x14ac:dyDescent="0.25">
      <c r="C322" s="25"/>
    </row>
    <row r="323" spans="3:3" x14ac:dyDescent="0.25">
      <c r="C323" s="25"/>
    </row>
    <row r="324" spans="3:3" x14ac:dyDescent="0.25">
      <c r="C324" s="25"/>
    </row>
    <row r="325" spans="3:3" x14ac:dyDescent="0.25">
      <c r="C325" s="25"/>
    </row>
    <row r="326" spans="3:3" x14ac:dyDescent="0.25">
      <c r="C326" s="25"/>
    </row>
    <row r="327" spans="3:3" x14ac:dyDescent="0.25">
      <c r="C327" s="25"/>
    </row>
    <row r="328" spans="3:3" x14ac:dyDescent="0.25">
      <c r="C328" s="25"/>
    </row>
    <row r="329" spans="3:3" x14ac:dyDescent="0.25">
      <c r="C329" s="25"/>
    </row>
    <row r="330" spans="3:3" x14ac:dyDescent="0.25">
      <c r="C330" s="25"/>
    </row>
    <row r="331" spans="3:3" x14ac:dyDescent="0.25">
      <c r="C331" s="25"/>
    </row>
    <row r="332" spans="3:3" x14ac:dyDescent="0.25">
      <c r="C332" s="25"/>
    </row>
    <row r="333" spans="3:3" x14ac:dyDescent="0.25">
      <c r="C333" s="25"/>
    </row>
    <row r="334" spans="3:3" x14ac:dyDescent="0.25">
      <c r="C334" s="25"/>
    </row>
    <row r="335" spans="3:3" x14ac:dyDescent="0.25">
      <c r="C335" s="25"/>
    </row>
    <row r="336" spans="3:3" x14ac:dyDescent="0.25">
      <c r="C336" s="25"/>
    </row>
    <row r="337" spans="3:3" x14ac:dyDescent="0.25">
      <c r="C337" s="25"/>
    </row>
    <row r="338" spans="3:3" x14ac:dyDescent="0.25">
      <c r="C338" s="25"/>
    </row>
    <row r="339" spans="3:3" x14ac:dyDescent="0.25">
      <c r="C339" s="25"/>
    </row>
    <row r="340" spans="3:3" x14ac:dyDescent="0.25">
      <c r="C340" s="25"/>
    </row>
    <row r="341" spans="3:3" x14ac:dyDescent="0.25">
      <c r="C341" s="25"/>
    </row>
    <row r="342" spans="3:3" x14ac:dyDescent="0.25">
      <c r="C342" s="25"/>
    </row>
    <row r="343" spans="3:3" x14ac:dyDescent="0.25">
      <c r="C343" s="25"/>
    </row>
    <row r="344" spans="3:3" x14ac:dyDescent="0.25">
      <c r="C344" s="25"/>
    </row>
    <row r="345" spans="3:3" x14ac:dyDescent="0.25">
      <c r="C345" s="25"/>
    </row>
    <row r="346" spans="3:3" x14ac:dyDescent="0.25">
      <c r="C346" s="25"/>
    </row>
    <row r="347" spans="3:3" x14ac:dyDescent="0.25">
      <c r="C347" s="25"/>
    </row>
    <row r="348" spans="3:3" x14ac:dyDescent="0.25">
      <c r="C348" s="25"/>
    </row>
    <row r="349" spans="3:3" x14ac:dyDescent="0.25">
      <c r="C349" s="25"/>
    </row>
    <row r="350" spans="3:3" x14ac:dyDescent="0.25">
      <c r="C350" s="25"/>
    </row>
    <row r="351" spans="3:3" x14ac:dyDescent="0.25">
      <c r="C351" s="25"/>
    </row>
    <row r="352" spans="3:3" x14ac:dyDescent="0.25">
      <c r="C352" s="25"/>
    </row>
    <row r="353" spans="3:3" x14ac:dyDescent="0.25">
      <c r="C353" s="25"/>
    </row>
    <row r="354" spans="3:3" x14ac:dyDescent="0.25">
      <c r="C354" s="25"/>
    </row>
    <row r="355" spans="3:3" x14ac:dyDescent="0.25">
      <c r="C355" s="25"/>
    </row>
    <row r="356" spans="3:3" x14ac:dyDescent="0.25">
      <c r="C356" s="25"/>
    </row>
    <row r="357" spans="3:3" x14ac:dyDescent="0.25">
      <c r="C357" s="25"/>
    </row>
    <row r="358" spans="3:3" x14ac:dyDescent="0.25">
      <c r="C358" s="25"/>
    </row>
    <row r="359" spans="3:3" x14ac:dyDescent="0.25">
      <c r="C359" s="25"/>
    </row>
    <row r="360" spans="3:3" x14ac:dyDescent="0.25">
      <c r="C360" s="25"/>
    </row>
    <row r="361" spans="3:3" x14ac:dyDescent="0.25">
      <c r="C361" s="25"/>
    </row>
    <row r="362" spans="3:3" x14ac:dyDescent="0.25">
      <c r="C362" s="25"/>
    </row>
    <row r="363" spans="3:3" x14ac:dyDescent="0.25">
      <c r="C363" s="25"/>
    </row>
    <row r="364" spans="3:3" x14ac:dyDescent="0.25">
      <c r="C364" s="25"/>
    </row>
    <row r="365" spans="3:3" x14ac:dyDescent="0.25">
      <c r="C365" s="25"/>
    </row>
    <row r="366" spans="3:3" x14ac:dyDescent="0.25">
      <c r="C366" s="25"/>
    </row>
    <row r="367" spans="3:3" x14ac:dyDescent="0.25">
      <c r="C367" s="25"/>
    </row>
    <row r="368" spans="3:3" x14ac:dyDescent="0.25">
      <c r="C368" s="25"/>
    </row>
    <row r="369" spans="3:3" x14ac:dyDescent="0.25">
      <c r="C369" s="25"/>
    </row>
    <row r="370" spans="3:3" x14ac:dyDescent="0.25">
      <c r="C370" s="25"/>
    </row>
    <row r="371" spans="3:3" x14ac:dyDescent="0.25">
      <c r="C371" s="25"/>
    </row>
    <row r="372" spans="3:3" x14ac:dyDescent="0.25">
      <c r="C372" s="25"/>
    </row>
    <row r="373" spans="3:3" x14ac:dyDescent="0.25">
      <c r="C373" s="25"/>
    </row>
    <row r="374" spans="3:3" x14ac:dyDescent="0.25">
      <c r="C374" s="25"/>
    </row>
    <row r="375" spans="3:3" x14ac:dyDescent="0.25">
      <c r="C375" s="25"/>
    </row>
    <row r="376" spans="3:3" x14ac:dyDescent="0.25">
      <c r="C376" s="25"/>
    </row>
    <row r="377" spans="3:3" x14ac:dyDescent="0.25">
      <c r="C377" s="25"/>
    </row>
    <row r="378" spans="3:3" x14ac:dyDescent="0.25">
      <c r="C378" s="25"/>
    </row>
    <row r="379" spans="3:3" x14ac:dyDescent="0.25">
      <c r="C379" s="25"/>
    </row>
    <row r="380" spans="3:3" x14ac:dyDescent="0.25">
      <c r="C380" s="25"/>
    </row>
    <row r="381" spans="3:3" x14ac:dyDescent="0.25">
      <c r="C381" s="25"/>
    </row>
    <row r="382" spans="3:3" x14ac:dyDescent="0.25">
      <c r="C382" s="25"/>
    </row>
    <row r="383" spans="3:3" x14ac:dyDescent="0.25">
      <c r="C383" s="25"/>
    </row>
    <row r="384" spans="3:3" x14ac:dyDescent="0.25">
      <c r="C384" s="25"/>
    </row>
    <row r="385" spans="3:3" x14ac:dyDescent="0.25">
      <c r="C385" s="25"/>
    </row>
    <row r="386" spans="3:3" x14ac:dyDescent="0.25">
      <c r="C386" s="25"/>
    </row>
    <row r="387" spans="3:3" x14ac:dyDescent="0.25">
      <c r="C387" s="25"/>
    </row>
    <row r="388" spans="3:3" x14ac:dyDescent="0.25">
      <c r="C388" s="25"/>
    </row>
    <row r="389" spans="3:3" x14ac:dyDescent="0.25">
      <c r="C389" s="25"/>
    </row>
    <row r="390" spans="3:3" x14ac:dyDescent="0.25">
      <c r="C390" s="25"/>
    </row>
    <row r="391" spans="3:3" x14ac:dyDescent="0.25">
      <c r="C391" s="25"/>
    </row>
    <row r="392" spans="3:3" x14ac:dyDescent="0.25">
      <c r="C392" s="25"/>
    </row>
    <row r="393" spans="3:3" x14ac:dyDescent="0.25">
      <c r="C393" s="25"/>
    </row>
    <row r="394" spans="3:3" x14ac:dyDescent="0.25">
      <c r="C394" s="25"/>
    </row>
    <row r="395" spans="3:3" x14ac:dyDescent="0.25">
      <c r="C395" s="25"/>
    </row>
    <row r="396" spans="3:3" x14ac:dyDescent="0.25">
      <c r="C396" s="25"/>
    </row>
    <row r="397" spans="3:3" x14ac:dyDescent="0.25">
      <c r="C397" s="25"/>
    </row>
    <row r="398" spans="3:3" x14ac:dyDescent="0.25">
      <c r="C398" s="25"/>
    </row>
    <row r="399" spans="3:3" x14ac:dyDescent="0.25">
      <c r="C399" s="25"/>
    </row>
    <row r="400" spans="3:3" x14ac:dyDescent="0.25">
      <c r="C400" s="25"/>
    </row>
    <row r="401" spans="3:3" x14ac:dyDescent="0.25">
      <c r="C401" s="25"/>
    </row>
    <row r="402" spans="3:3" x14ac:dyDescent="0.25">
      <c r="C402" s="25"/>
    </row>
    <row r="403" spans="3:3" x14ac:dyDescent="0.25">
      <c r="C403" s="25"/>
    </row>
    <row r="404" spans="3:3" x14ac:dyDescent="0.25">
      <c r="C404" s="25"/>
    </row>
    <row r="405" spans="3:3" x14ac:dyDescent="0.25">
      <c r="C405" s="25"/>
    </row>
    <row r="406" spans="3:3" x14ac:dyDescent="0.25">
      <c r="C406" s="25"/>
    </row>
    <row r="407" spans="3:3" x14ac:dyDescent="0.25">
      <c r="C407" s="25"/>
    </row>
    <row r="408" spans="3:3" x14ac:dyDescent="0.25">
      <c r="C408" s="25"/>
    </row>
    <row r="409" spans="3:3" x14ac:dyDescent="0.25">
      <c r="C409" s="25"/>
    </row>
    <row r="410" spans="3:3" x14ac:dyDescent="0.25">
      <c r="C410" s="25"/>
    </row>
    <row r="411" spans="3:3" x14ac:dyDescent="0.25">
      <c r="C411" s="25"/>
    </row>
    <row r="412" spans="3:3" x14ac:dyDescent="0.25">
      <c r="C412" s="25"/>
    </row>
    <row r="413" spans="3:3" x14ac:dyDescent="0.25">
      <c r="C413" s="25"/>
    </row>
    <row r="414" spans="3:3" x14ac:dyDescent="0.25">
      <c r="C414" s="25"/>
    </row>
    <row r="415" spans="3:3" x14ac:dyDescent="0.25">
      <c r="C415" s="25"/>
    </row>
    <row r="416" spans="3:3" x14ac:dyDescent="0.25">
      <c r="C416" s="25"/>
    </row>
    <row r="417" spans="3:3" x14ac:dyDescent="0.25">
      <c r="C417" s="25"/>
    </row>
    <row r="418" spans="3:3" x14ac:dyDescent="0.25">
      <c r="C418" s="25"/>
    </row>
    <row r="419" spans="3:3" x14ac:dyDescent="0.25">
      <c r="C419" s="25"/>
    </row>
    <row r="420" spans="3:3" x14ac:dyDescent="0.25">
      <c r="C420" s="25"/>
    </row>
    <row r="421" spans="3:3" x14ac:dyDescent="0.25">
      <c r="C421" s="25"/>
    </row>
    <row r="422" spans="3:3" x14ac:dyDescent="0.25">
      <c r="C422" s="25"/>
    </row>
    <row r="423" spans="3:3" x14ac:dyDescent="0.25">
      <c r="C423" s="25"/>
    </row>
    <row r="424" spans="3:3" x14ac:dyDescent="0.25">
      <c r="C424" s="25"/>
    </row>
    <row r="425" spans="3:3" x14ac:dyDescent="0.25">
      <c r="C425" s="25"/>
    </row>
    <row r="426" spans="3:3" x14ac:dyDescent="0.25">
      <c r="C426" s="25"/>
    </row>
    <row r="427" spans="3:3" x14ac:dyDescent="0.25">
      <c r="C427" s="25"/>
    </row>
    <row r="428" spans="3:3" x14ac:dyDescent="0.25">
      <c r="C428" s="25"/>
    </row>
    <row r="429" spans="3:3" x14ac:dyDescent="0.25">
      <c r="C429" s="25"/>
    </row>
    <row r="430" spans="3:3" x14ac:dyDescent="0.25">
      <c r="C430" s="25"/>
    </row>
    <row r="431" spans="3:3" x14ac:dyDescent="0.25">
      <c r="C431" s="25"/>
    </row>
    <row r="432" spans="3:3" x14ac:dyDescent="0.25">
      <c r="C432" s="25"/>
    </row>
    <row r="433" spans="3:3" x14ac:dyDescent="0.25">
      <c r="C433" s="25"/>
    </row>
    <row r="434" spans="3:3" x14ac:dyDescent="0.25">
      <c r="C434" s="25"/>
    </row>
    <row r="435" spans="3:3" x14ac:dyDescent="0.25">
      <c r="C435" s="25"/>
    </row>
    <row r="436" spans="3:3" x14ac:dyDescent="0.25">
      <c r="C436" s="25"/>
    </row>
    <row r="437" spans="3:3" x14ac:dyDescent="0.25">
      <c r="C437" s="25"/>
    </row>
    <row r="438" spans="3:3" x14ac:dyDescent="0.25">
      <c r="C438" s="25"/>
    </row>
    <row r="439" spans="3:3" x14ac:dyDescent="0.25">
      <c r="C439" s="25"/>
    </row>
    <row r="440" spans="3:3" x14ac:dyDescent="0.25">
      <c r="C440" s="25"/>
    </row>
    <row r="441" spans="3:3" x14ac:dyDescent="0.25">
      <c r="C441" s="25"/>
    </row>
    <row r="442" spans="3:3" x14ac:dyDescent="0.25">
      <c r="C442" s="25"/>
    </row>
    <row r="443" spans="3:3" x14ac:dyDescent="0.25">
      <c r="C443" s="25"/>
    </row>
    <row r="444" spans="3:3" x14ac:dyDescent="0.25">
      <c r="C444" s="25"/>
    </row>
    <row r="445" spans="3:3" x14ac:dyDescent="0.25">
      <c r="C445" s="25"/>
    </row>
    <row r="446" spans="3:3" x14ac:dyDescent="0.25">
      <c r="C446" s="25"/>
    </row>
    <row r="447" spans="3:3" x14ac:dyDescent="0.25">
      <c r="C447" s="25"/>
    </row>
    <row r="448" spans="3:3" x14ac:dyDescent="0.25">
      <c r="C448" s="25"/>
    </row>
    <row r="449" spans="3:3" x14ac:dyDescent="0.25">
      <c r="C449" s="25"/>
    </row>
    <row r="450" spans="3:3" x14ac:dyDescent="0.25">
      <c r="C450" s="25"/>
    </row>
    <row r="451" spans="3:3" x14ac:dyDescent="0.25">
      <c r="C451" s="25"/>
    </row>
    <row r="452" spans="3:3" x14ac:dyDescent="0.25">
      <c r="C452" s="25"/>
    </row>
    <row r="453" spans="3:3" x14ac:dyDescent="0.25">
      <c r="C453" s="25"/>
    </row>
    <row r="454" spans="3:3" x14ac:dyDescent="0.25">
      <c r="C454" s="25"/>
    </row>
    <row r="455" spans="3:3" x14ac:dyDescent="0.25">
      <c r="C455" s="25"/>
    </row>
    <row r="456" spans="3:3" x14ac:dyDescent="0.25">
      <c r="C456" s="25"/>
    </row>
    <row r="457" spans="3:3" x14ac:dyDescent="0.25">
      <c r="C457" s="25"/>
    </row>
    <row r="458" spans="3:3" x14ac:dyDescent="0.25">
      <c r="C458" s="25"/>
    </row>
    <row r="459" spans="3:3" x14ac:dyDescent="0.25">
      <c r="C459" s="25"/>
    </row>
    <row r="460" spans="3:3" x14ac:dyDescent="0.25">
      <c r="C460" s="25"/>
    </row>
    <row r="461" spans="3:3" x14ac:dyDescent="0.25">
      <c r="C461" s="25"/>
    </row>
    <row r="462" spans="3:3" x14ac:dyDescent="0.25">
      <c r="C462" s="25"/>
    </row>
    <row r="463" spans="3:3" x14ac:dyDescent="0.25">
      <c r="C463" s="25"/>
    </row>
    <row r="464" spans="3:3" x14ac:dyDescent="0.25">
      <c r="C464" s="25"/>
    </row>
    <row r="465" spans="3:3" x14ac:dyDescent="0.25">
      <c r="C465" s="25"/>
    </row>
    <row r="466" spans="3:3" x14ac:dyDescent="0.25">
      <c r="C466" s="25"/>
    </row>
    <row r="467" spans="3:3" x14ac:dyDescent="0.25">
      <c r="C467" s="25"/>
    </row>
    <row r="468" spans="3:3" x14ac:dyDescent="0.25">
      <c r="C468" s="25"/>
    </row>
    <row r="469" spans="3:3" x14ac:dyDescent="0.25">
      <c r="C469" s="25"/>
    </row>
    <row r="470" spans="3:3" x14ac:dyDescent="0.25">
      <c r="C470" s="25"/>
    </row>
    <row r="471" spans="3:3" x14ac:dyDescent="0.25">
      <c r="C471" s="25"/>
    </row>
    <row r="472" spans="3:3" x14ac:dyDescent="0.25">
      <c r="C472" s="25"/>
    </row>
    <row r="473" spans="3:3" x14ac:dyDescent="0.25">
      <c r="C473" s="25"/>
    </row>
    <row r="474" spans="3:3" x14ac:dyDescent="0.25">
      <c r="C474" s="25"/>
    </row>
    <row r="475" spans="3:3" x14ac:dyDescent="0.25">
      <c r="C475" s="25"/>
    </row>
    <row r="476" spans="3:3" x14ac:dyDescent="0.25">
      <c r="C476" s="25"/>
    </row>
    <row r="477" spans="3:3" x14ac:dyDescent="0.25">
      <c r="C477" s="25"/>
    </row>
    <row r="478" spans="3:3" x14ac:dyDescent="0.25">
      <c r="C478" s="25"/>
    </row>
    <row r="479" spans="3:3" x14ac:dyDescent="0.25">
      <c r="C479" s="25"/>
    </row>
    <row r="480" spans="3:3" x14ac:dyDescent="0.25">
      <c r="C480" s="25"/>
    </row>
    <row r="481" spans="3:3" x14ac:dyDescent="0.25">
      <c r="C481" s="25"/>
    </row>
    <row r="482" spans="3:3" x14ac:dyDescent="0.25">
      <c r="C482" s="25"/>
    </row>
    <row r="483" spans="3:3" x14ac:dyDescent="0.25">
      <c r="C483" s="25"/>
    </row>
    <row r="484" spans="3:3" x14ac:dyDescent="0.25">
      <c r="C484" s="25"/>
    </row>
    <row r="485" spans="3:3" x14ac:dyDescent="0.25">
      <c r="C485" s="25"/>
    </row>
    <row r="486" spans="3:3" x14ac:dyDescent="0.25">
      <c r="C486" s="25"/>
    </row>
    <row r="487" spans="3:3" x14ac:dyDescent="0.25">
      <c r="C487" s="25"/>
    </row>
    <row r="488" spans="3:3" x14ac:dyDescent="0.25">
      <c r="C488" s="25"/>
    </row>
    <row r="489" spans="3:3" x14ac:dyDescent="0.25">
      <c r="C489" s="25"/>
    </row>
    <row r="490" spans="3:3" x14ac:dyDescent="0.25">
      <c r="C490" s="25"/>
    </row>
    <row r="491" spans="3:3" x14ac:dyDescent="0.25">
      <c r="C491" s="25"/>
    </row>
    <row r="492" spans="3:3" x14ac:dyDescent="0.25">
      <c r="C492" s="25"/>
    </row>
    <row r="493" spans="3:3" x14ac:dyDescent="0.25">
      <c r="C493" s="25"/>
    </row>
    <row r="494" spans="3:3" x14ac:dyDescent="0.25">
      <c r="C494" s="25"/>
    </row>
    <row r="495" spans="3:3" x14ac:dyDescent="0.25">
      <c r="C495" s="25"/>
    </row>
    <row r="496" spans="3:3" x14ac:dyDescent="0.25">
      <c r="C496" s="25"/>
    </row>
    <row r="497" spans="3:3" x14ac:dyDescent="0.25">
      <c r="C497" s="25"/>
    </row>
    <row r="498" spans="3:3" x14ac:dyDescent="0.25">
      <c r="C498" s="25"/>
    </row>
    <row r="499" spans="3:3" x14ac:dyDescent="0.25">
      <c r="C499" s="25"/>
    </row>
    <row r="500" spans="3:3" x14ac:dyDescent="0.25">
      <c r="C500" s="25"/>
    </row>
    <row r="501" spans="3:3" x14ac:dyDescent="0.25">
      <c r="C501" s="25"/>
    </row>
    <row r="502" spans="3:3" x14ac:dyDescent="0.25">
      <c r="C502" s="25"/>
    </row>
    <row r="503" spans="3:3" x14ac:dyDescent="0.25">
      <c r="C503" s="25"/>
    </row>
    <row r="504" spans="3:3" x14ac:dyDescent="0.25">
      <c r="C504" s="25"/>
    </row>
    <row r="505" spans="3:3" x14ac:dyDescent="0.25">
      <c r="C505" s="25"/>
    </row>
    <row r="506" spans="3:3" x14ac:dyDescent="0.25">
      <c r="C506" s="25"/>
    </row>
    <row r="507" spans="3:3" x14ac:dyDescent="0.25">
      <c r="C507" s="25"/>
    </row>
    <row r="508" spans="3:3" x14ac:dyDescent="0.25">
      <c r="C508" s="25"/>
    </row>
    <row r="509" spans="3:3" x14ac:dyDescent="0.25">
      <c r="C509" s="25"/>
    </row>
    <row r="510" spans="3:3" x14ac:dyDescent="0.25">
      <c r="C510" s="25"/>
    </row>
    <row r="511" spans="3:3" x14ac:dyDescent="0.25">
      <c r="C511" s="25"/>
    </row>
    <row r="512" spans="3:3" x14ac:dyDescent="0.25">
      <c r="C512" s="25"/>
    </row>
    <row r="513" spans="3:3" x14ac:dyDescent="0.25">
      <c r="C513" s="25"/>
    </row>
    <row r="514" spans="3:3" x14ac:dyDescent="0.25">
      <c r="C514" s="25"/>
    </row>
    <row r="515" spans="3:3" x14ac:dyDescent="0.25">
      <c r="C515" s="25"/>
    </row>
    <row r="516" spans="3:3" x14ac:dyDescent="0.25">
      <c r="C516" s="25"/>
    </row>
    <row r="517" spans="3:3" x14ac:dyDescent="0.25">
      <c r="C517" s="25"/>
    </row>
    <row r="518" spans="3:3" x14ac:dyDescent="0.25">
      <c r="C518" s="25"/>
    </row>
    <row r="519" spans="3:3" x14ac:dyDescent="0.25">
      <c r="C519" s="25"/>
    </row>
    <row r="520" spans="3:3" x14ac:dyDescent="0.25">
      <c r="C520" s="25"/>
    </row>
    <row r="521" spans="3:3" x14ac:dyDescent="0.25">
      <c r="C521" s="25"/>
    </row>
    <row r="522" spans="3:3" x14ac:dyDescent="0.25">
      <c r="C522" s="25"/>
    </row>
    <row r="523" spans="3:3" x14ac:dyDescent="0.25">
      <c r="C523" s="25"/>
    </row>
    <row r="524" spans="3:3" x14ac:dyDescent="0.25">
      <c r="C524" s="25"/>
    </row>
    <row r="525" spans="3:3" x14ac:dyDescent="0.25">
      <c r="C525" s="25"/>
    </row>
    <row r="526" spans="3:3" x14ac:dyDescent="0.25">
      <c r="C526" s="25"/>
    </row>
    <row r="527" spans="3:3" x14ac:dyDescent="0.25">
      <c r="C527" s="25"/>
    </row>
    <row r="528" spans="3:3" x14ac:dyDescent="0.25">
      <c r="C528" s="25"/>
    </row>
    <row r="529" spans="3:3" x14ac:dyDescent="0.25">
      <c r="C529" s="25"/>
    </row>
    <row r="530" spans="3:3" x14ac:dyDescent="0.25">
      <c r="C530" s="25"/>
    </row>
    <row r="531" spans="3:3" x14ac:dyDescent="0.25">
      <c r="C531" s="25"/>
    </row>
    <row r="532" spans="3:3" x14ac:dyDescent="0.25">
      <c r="C532" s="25"/>
    </row>
    <row r="533" spans="3:3" x14ac:dyDescent="0.25">
      <c r="C533" s="25"/>
    </row>
    <row r="534" spans="3:3" x14ac:dyDescent="0.25">
      <c r="C534" s="25"/>
    </row>
    <row r="535" spans="3:3" x14ac:dyDescent="0.25">
      <c r="C535" s="25"/>
    </row>
    <row r="536" spans="3:3" x14ac:dyDescent="0.25">
      <c r="C536" s="25"/>
    </row>
    <row r="537" spans="3:3" x14ac:dyDescent="0.25">
      <c r="C537" s="25"/>
    </row>
    <row r="538" spans="3:3" x14ac:dyDescent="0.25">
      <c r="C538" s="25"/>
    </row>
    <row r="539" spans="3:3" x14ac:dyDescent="0.25">
      <c r="C539" s="25"/>
    </row>
    <row r="540" spans="3:3" x14ac:dyDescent="0.25">
      <c r="C540" s="25"/>
    </row>
    <row r="541" spans="3:3" x14ac:dyDescent="0.25">
      <c r="C541" s="25"/>
    </row>
    <row r="542" spans="3:3" x14ac:dyDescent="0.25">
      <c r="C542" s="25"/>
    </row>
    <row r="543" spans="3:3" x14ac:dyDescent="0.25">
      <c r="C543" s="25"/>
    </row>
    <row r="544" spans="3:3" x14ac:dyDescent="0.25">
      <c r="C544" s="25"/>
    </row>
    <row r="545" spans="3:3" x14ac:dyDescent="0.25">
      <c r="C545" s="25"/>
    </row>
    <row r="546" spans="3:3" x14ac:dyDescent="0.25">
      <c r="C546" s="25"/>
    </row>
    <row r="547" spans="3:3" x14ac:dyDescent="0.25">
      <c r="C547" s="25"/>
    </row>
    <row r="548" spans="3:3" x14ac:dyDescent="0.25">
      <c r="C548" s="25"/>
    </row>
    <row r="549" spans="3:3" x14ac:dyDescent="0.25">
      <c r="C549" s="25"/>
    </row>
    <row r="550" spans="3:3" x14ac:dyDescent="0.25">
      <c r="C550" s="25"/>
    </row>
    <row r="551" spans="3:3" x14ac:dyDescent="0.25">
      <c r="C551" s="25"/>
    </row>
    <row r="552" spans="3:3" x14ac:dyDescent="0.25">
      <c r="C552" s="25"/>
    </row>
    <row r="553" spans="3:3" x14ac:dyDescent="0.25">
      <c r="C553" s="25"/>
    </row>
    <row r="554" spans="3:3" x14ac:dyDescent="0.25">
      <c r="C554" s="25"/>
    </row>
    <row r="555" spans="3:3" x14ac:dyDescent="0.25">
      <c r="C555" s="25"/>
    </row>
    <row r="556" spans="3:3" x14ac:dyDescent="0.25">
      <c r="C556" s="25"/>
    </row>
    <row r="557" spans="3:3" x14ac:dyDescent="0.25">
      <c r="C557" s="25"/>
    </row>
    <row r="558" spans="3:3" x14ac:dyDescent="0.25">
      <c r="C558" s="25"/>
    </row>
    <row r="559" spans="3:3" x14ac:dyDescent="0.25">
      <c r="C559" s="25"/>
    </row>
    <row r="560" spans="3:3" x14ac:dyDescent="0.25">
      <c r="C560" s="25"/>
    </row>
    <row r="561" spans="3:3" x14ac:dyDescent="0.25">
      <c r="C561" s="25"/>
    </row>
    <row r="562" spans="3:3" x14ac:dyDescent="0.25">
      <c r="C562" s="25"/>
    </row>
    <row r="563" spans="3:3" x14ac:dyDescent="0.25">
      <c r="C563" s="25"/>
    </row>
    <row r="564" spans="3:3" x14ac:dyDescent="0.25">
      <c r="C564" s="25"/>
    </row>
    <row r="565" spans="3:3" x14ac:dyDescent="0.25">
      <c r="C565" s="25"/>
    </row>
    <row r="566" spans="3:3" x14ac:dyDescent="0.25">
      <c r="C566" s="25"/>
    </row>
    <row r="567" spans="3:3" x14ac:dyDescent="0.25">
      <c r="C567" s="25"/>
    </row>
    <row r="568" spans="3:3" x14ac:dyDescent="0.25">
      <c r="C568" s="25"/>
    </row>
    <row r="569" spans="3:3" x14ac:dyDescent="0.25">
      <c r="C569" s="25"/>
    </row>
    <row r="570" spans="3:3" x14ac:dyDescent="0.25">
      <c r="C570" s="25"/>
    </row>
    <row r="571" spans="3:3" x14ac:dyDescent="0.25">
      <c r="C571" s="25"/>
    </row>
    <row r="572" spans="3:3" x14ac:dyDescent="0.25">
      <c r="C572" s="25"/>
    </row>
    <row r="573" spans="3:3" x14ac:dyDescent="0.25">
      <c r="C573" s="25"/>
    </row>
    <row r="574" spans="3:3" x14ac:dyDescent="0.25">
      <c r="C574" s="25"/>
    </row>
    <row r="575" spans="3:3" x14ac:dyDescent="0.25">
      <c r="C575" s="25"/>
    </row>
    <row r="576" spans="3:3" x14ac:dyDescent="0.25">
      <c r="C576" s="25"/>
    </row>
    <row r="577" spans="3:3" x14ac:dyDescent="0.25">
      <c r="C577" s="25"/>
    </row>
    <row r="578" spans="3:3" x14ac:dyDescent="0.25">
      <c r="C578" s="25"/>
    </row>
    <row r="579" spans="3:3" x14ac:dyDescent="0.25">
      <c r="C579" s="25"/>
    </row>
    <row r="580" spans="3:3" x14ac:dyDescent="0.25">
      <c r="C580" s="25"/>
    </row>
    <row r="581" spans="3:3" x14ac:dyDescent="0.25">
      <c r="C581" s="25"/>
    </row>
    <row r="582" spans="3:3" x14ac:dyDescent="0.25">
      <c r="C582" s="25"/>
    </row>
    <row r="583" spans="3:3" x14ac:dyDescent="0.25">
      <c r="C583" s="25"/>
    </row>
    <row r="584" spans="3:3" x14ac:dyDescent="0.25">
      <c r="C584" s="25"/>
    </row>
    <row r="585" spans="3:3" x14ac:dyDescent="0.25">
      <c r="C585" s="25"/>
    </row>
    <row r="586" spans="3:3" x14ac:dyDescent="0.25">
      <c r="C586" s="25"/>
    </row>
    <row r="587" spans="3:3" x14ac:dyDescent="0.25">
      <c r="C587" s="25"/>
    </row>
    <row r="588" spans="3:3" x14ac:dyDescent="0.25">
      <c r="C588" s="25"/>
    </row>
    <row r="589" spans="3:3" x14ac:dyDescent="0.25">
      <c r="C589" s="25"/>
    </row>
    <row r="590" spans="3:3" x14ac:dyDescent="0.25">
      <c r="C590" s="25"/>
    </row>
    <row r="591" spans="3:3" x14ac:dyDescent="0.25">
      <c r="C591" s="25"/>
    </row>
    <row r="592" spans="3:3" x14ac:dyDescent="0.25">
      <c r="C592" s="25"/>
    </row>
    <row r="593" spans="3:3" x14ac:dyDescent="0.25">
      <c r="C593" s="25"/>
    </row>
    <row r="594" spans="3:3" x14ac:dyDescent="0.25">
      <c r="C594" s="25"/>
    </row>
    <row r="595" spans="3:3" x14ac:dyDescent="0.25">
      <c r="C595" s="25"/>
    </row>
    <row r="596" spans="3:3" x14ac:dyDescent="0.25">
      <c r="C596" s="25"/>
    </row>
    <row r="597" spans="3:3" x14ac:dyDescent="0.25">
      <c r="C597" s="25"/>
    </row>
    <row r="598" spans="3:3" x14ac:dyDescent="0.25">
      <c r="C598" s="25"/>
    </row>
    <row r="599" spans="3:3" x14ac:dyDescent="0.25">
      <c r="C599" s="25"/>
    </row>
    <row r="600" spans="3:3" x14ac:dyDescent="0.25">
      <c r="C600" s="25"/>
    </row>
    <row r="601" spans="3:3" x14ac:dyDescent="0.25">
      <c r="C601" s="25"/>
    </row>
    <row r="602" spans="3:3" x14ac:dyDescent="0.25">
      <c r="C602" s="25"/>
    </row>
    <row r="603" spans="3:3" x14ac:dyDescent="0.25">
      <c r="C603" s="25"/>
    </row>
    <row r="604" spans="3:3" x14ac:dyDescent="0.25">
      <c r="C604" s="25"/>
    </row>
    <row r="605" spans="3:3" x14ac:dyDescent="0.25">
      <c r="C605" s="25"/>
    </row>
    <row r="606" spans="3:3" x14ac:dyDescent="0.25">
      <c r="C606" s="25"/>
    </row>
    <row r="607" spans="3:3" x14ac:dyDescent="0.25">
      <c r="C607" s="25"/>
    </row>
    <row r="608" spans="3:3" x14ac:dyDescent="0.25">
      <c r="C608" s="25"/>
    </row>
    <row r="609" spans="3:3" x14ac:dyDescent="0.25">
      <c r="C609" s="25"/>
    </row>
    <row r="610" spans="3:3" x14ac:dyDescent="0.25">
      <c r="C610" s="25"/>
    </row>
    <row r="611" spans="3:3" x14ac:dyDescent="0.25">
      <c r="C611" s="25"/>
    </row>
    <row r="612" spans="3:3" x14ac:dyDescent="0.25">
      <c r="C612" s="25"/>
    </row>
    <row r="613" spans="3:3" x14ac:dyDescent="0.25">
      <c r="C613" s="25"/>
    </row>
    <row r="614" spans="3:3" x14ac:dyDescent="0.25">
      <c r="C614" s="25"/>
    </row>
    <row r="615" spans="3:3" x14ac:dyDescent="0.25">
      <c r="C615" s="25"/>
    </row>
    <row r="616" spans="3:3" x14ac:dyDescent="0.25">
      <c r="C616" s="25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user</dc:creator>
  <cp:lastModifiedBy>星宏 吳</cp:lastModifiedBy>
  <cp:lastPrinted>2026-07-29T06:00:47Z</cp:lastPrinted>
  <dcterms:modified xsi:type="dcterms:W3CDTF">2026-08-05T06:53:37Z</dcterms:modified>
</cp:coreProperties>
</file>