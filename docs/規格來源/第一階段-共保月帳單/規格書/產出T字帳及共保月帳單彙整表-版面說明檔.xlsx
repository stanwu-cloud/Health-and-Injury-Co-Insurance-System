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提供範例/20260728/"/>
    </mc:Choice>
  </mc:AlternateContent>
  <xr:revisionPtr revIDLastSave="5" documentId="11_63D160BA96C5985FACE2BF6E147170F19A749593" xr6:coauthVersionLast="47" xr6:coauthVersionMax="47" xr10:uidLastSave="{E8140876-7763-4EF8-94F7-B974A3DB8405}"/>
  <bookViews>
    <workbookView xWindow="31590" yWindow="3945" windowWidth="13620" windowHeight="11295" tabRatio="723" xr2:uid="{00000000-000D-0000-FFFF-FFFF00000000}"/>
  </bookViews>
  <sheets>
    <sheet name="共保月帳單-T字帳" sheetId="9" r:id="rId1"/>
    <sheet name="共保月帳單-彙整表" sheetId="8" r:id="rId2"/>
    <sheet name="累計保費報表-可延後製作" sheetId="12" r:id="rId3"/>
    <sheet name="格式+批改原因代號表" sheetId="13" r:id="rId4"/>
    <sheet name="出險原因表(參考統計規程，僅供參考)" sheetId="11" state="hidden" r:id="rId5"/>
  </sheets>
  <definedNames>
    <definedName name="_xlnm.Print_Area" localSheetId="0">'共保月帳單-T字帳'!$A$1:$J$21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9" l="1"/>
  <c r="N19" i="12"/>
  <c r="O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N20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21" i="12" l="1"/>
  <c r="D20" i="8" l="1"/>
  <c r="E23" i="8"/>
  <c r="C23" i="8"/>
  <c r="B23" i="8"/>
  <c r="D21" i="8"/>
  <c r="D19" i="8"/>
  <c r="D18" i="8"/>
  <c r="D17" i="8"/>
  <c r="D16" i="8"/>
  <c r="D15" i="8"/>
  <c r="D22" i="8"/>
  <c r="D14" i="8"/>
  <c r="D13" i="8"/>
  <c r="D12" i="8"/>
  <c r="D11" i="8"/>
  <c r="D10" i="8"/>
  <c r="D9" i="8"/>
  <c r="D8" i="8"/>
  <c r="D7" i="8"/>
  <c r="G9" i="8" l="1"/>
  <c r="G10" i="8"/>
  <c r="G11" i="8"/>
  <c r="G12" i="8"/>
  <c r="G13" i="8"/>
  <c r="G14" i="8"/>
  <c r="G15" i="8"/>
  <c r="H15" i="8" s="1"/>
  <c r="J15" i="8" s="1"/>
  <c r="G16" i="8"/>
  <c r="G17" i="8"/>
  <c r="G18" i="8"/>
  <c r="G19" i="8"/>
  <c r="G20" i="8"/>
  <c r="G21" i="8"/>
  <c r="G8" i="8"/>
  <c r="G7" i="8"/>
  <c r="G22" i="8" s="1"/>
  <c r="F9" i="8"/>
  <c r="F15" i="8"/>
  <c r="I15" i="8" s="1"/>
  <c r="F21" i="8"/>
  <c r="F17" i="8"/>
  <c r="I17" i="8" s="1"/>
  <c r="F10" i="8"/>
  <c r="H10" i="8" s="1"/>
  <c r="F16" i="8"/>
  <c r="I16" i="8" s="1"/>
  <c r="F8" i="8"/>
  <c r="I8" i="8" s="1"/>
  <c r="F7" i="8"/>
  <c r="F18" i="8"/>
  <c r="I18" i="8" s="1"/>
  <c r="F11" i="8"/>
  <c r="F12" i="8"/>
  <c r="F13" i="8"/>
  <c r="H13" i="8" s="1"/>
  <c r="F19" i="8"/>
  <c r="I19" i="8" s="1"/>
  <c r="F14" i="8"/>
  <c r="I14" i="8" s="1"/>
  <c r="F20" i="8"/>
  <c r="I20" i="8" s="1"/>
  <c r="I7" i="9"/>
  <c r="I14" i="9" s="1"/>
  <c r="D23" i="8"/>
  <c r="H11" i="8"/>
  <c r="I11" i="8"/>
  <c r="H9" i="8"/>
  <c r="I9" i="8"/>
  <c r="H7" i="8"/>
  <c r="I7" i="8"/>
  <c r="H8" i="8" l="1"/>
  <c r="G23" i="8"/>
  <c r="I10" i="8"/>
  <c r="I13" i="8"/>
  <c r="H16" i="8"/>
  <c r="J16" i="8" s="1"/>
  <c r="H20" i="8"/>
  <c r="J20" i="8" s="1"/>
  <c r="H19" i="8"/>
  <c r="J19" i="8" s="1"/>
  <c r="H17" i="8"/>
  <c r="J17" i="8" s="1"/>
  <c r="H12" i="8"/>
  <c r="F22" i="8"/>
  <c r="H14" i="8"/>
  <c r="J14" i="8" s="1"/>
  <c r="H22" i="8"/>
  <c r="I22" i="8"/>
  <c r="F23" i="8"/>
  <c r="H18" i="8"/>
  <c r="J18" i="8" s="1"/>
  <c r="I21" i="8"/>
  <c r="H21" i="8"/>
  <c r="J21" i="8" s="1"/>
  <c r="I12" i="8"/>
  <c r="J12" i="8" s="1"/>
  <c r="J8" i="8"/>
  <c r="J10" i="8"/>
  <c r="J13" i="8"/>
  <c r="J11" i="8"/>
  <c r="J7" i="8"/>
  <c r="J9" i="8"/>
  <c r="H23" i="8" l="1"/>
  <c r="I23" i="8"/>
  <c r="D11" i="9" s="1"/>
  <c r="D13" i="9" s="1"/>
  <c r="D14" i="9" s="1"/>
  <c r="J22" i="8"/>
  <c r="J2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WANG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欄位等於共保月帳單彙總表C</t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細明體"/>
            <family val="3"/>
            <charset val="136"/>
          </rPr>
          <t>欄位</t>
        </r>
      </text>
    </comment>
    <comment ref="I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欄位等於共保月帳單彙總表B23欄位
</t>
        </r>
      </text>
    </comment>
    <comment ref="D1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欄位等於共保月帳單彙總表I</t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細明體"/>
            <family val="3"/>
            <charset val="136"/>
          </rPr>
          <t>欄位</t>
        </r>
      </text>
    </comment>
    <comment ref="D1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欄位等於I14-D11</t>
        </r>
      </text>
    </comment>
    <comment ref="D1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柵位D11+D13
</t>
        </r>
      </text>
    </comment>
    <comment ref="I14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WANG: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數字等於I7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來源:20260101_harm 傷害保險-</t>
        </r>
        <r>
          <rPr>
            <sz val="9"/>
            <color indexed="81"/>
            <rFont val="Tahoma"/>
            <family val="2"/>
          </rPr>
          <t>12.</t>
        </r>
        <r>
          <rPr>
            <sz val="9"/>
            <color indexed="81"/>
            <rFont val="細明體"/>
            <family val="3"/>
            <charset val="136"/>
          </rPr>
          <t>出險原因代號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欄位</t>
        </r>
        <r>
          <rPr>
            <sz val="9"/>
            <color indexed="81"/>
            <rFont val="Tahoma"/>
            <family val="2"/>
          </rPr>
          <t xml:space="preserve"> 116  119)</t>
        </r>
      </text>
    </comment>
  </commentList>
</comments>
</file>

<file path=xl/sharedStrings.xml><?xml version="1.0" encoding="utf-8"?>
<sst xmlns="http://schemas.openxmlformats.org/spreadsheetml/2006/main" count="607" uniqueCount="560">
  <si>
    <t>執行災害防救業務志工團體保險共保組織</t>
    <phoneticPr fontId="4" type="noConversion"/>
  </si>
  <si>
    <t>共保月帳單</t>
  </si>
  <si>
    <t>單位：新台幣元</t>
  </si>
  <si>
    <r>
      <t>公司名稱</t>
    </r>
    <r>
      <rPr>
        <b/>
        <sz val="14"/>
        <rFont val="Times New Roman"/>
        <family val="1"/>
      </rPr>
      <t>(1)</t>
    </r>
    <phoneticPr fontId="4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</si>
  <si>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</si>
  <si>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</si>
  <si>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4" type="noConversion"/>
  </si>
  <si>
    <t>淨收(付)共保費)(10)</t>
    <phoneticPr fontId="4" type="noConversion"/>
  </si>
  <si>
    <r>
      <t>保費</t>
    </r>
    <r>
      <rPr>
        <b/>
        <sz val="8"/>
        <rFont val="Times New Roman"/>
        <family val="1"/>
      </rPr>
      <t>(2)</t>
    </r>
    <phoneticPr fontId="4" type="noConversion"/>
  </si>
  <si>
    <t>已付賠款(3)</t>
    <phoneticPr fontId="4" type="noConversion"/>
  </si>
  <si>
    <t>應收（付）淨額(4)</t>
    <phoneticPr fontId="4" type="noConversion"/>
  </si>
  <si>
    <t>共保成分(5)</t>
    <phoneticPr fontId="4" type="noConversion"/>
  </si>
  <si>
    <r>
      <t>應分配保費</t>
    </r>
    <r>
      <rPr>
        <b/>
        <sz val="8"/>
        <rFont val="Times New Roman"/>
        <family val="1"/>
      </rPr>
      <t>(6)</t>
    </r>
    <phoneticPr fontId="4" type="noConversion"/>
  </si>
  <si>
    <r>
      <t>應攤配賠款</t>
    </r>
    <r>
      <rPr>
        <b/>
        <sz val="8"/>
        <rFont val="Times New Roman"/>
        <family val="1"/>
      </rPr>
      <t>(7)</t>
    </r>
    <phoneticPr fontId="4" type="noConversion"/>
  </si>
  <si>
    <t>應攤收(付)淨額(8)</t>
    <phoneticPr fontId="4" type="noConversion"/>
  </si>
  <si>
    <t>計算說明</t>
    <phoneticPr fontId="4" type="noConversion"/>
  </si>
  <si>
    <t>由當月資料總計</t>
    <phoneticPr fontId="4" type="noConversion"/>
  </si>
  <si>
    <t>(4) = (2) + (3)</t>
    <phoneticPr fontId="4" type="noConversion"/>
  </si>
  <si>
    <t>查成分表</t>
    <phoneticPr fontId="4" type="noConversion"/>
  </si>
  <si>
    <t>(6)=SUM(2)X(5)</t>
    <phoneticPr fontId="4" type="noConversion"/>
  </si>
  <si>
    <t>(7)=SUM(3)X(5)</t>
    <phoneticPr fontId="4" type="noConversion"/>
  </si>
  <si>
    <t>(8)=(6)+(7)</t>
    <phoneticPr fontId="4" type="noConversion"/>
  </si>
  <si>
    <t>(9)=(6)x5%</t>
    <phoneticPr fontId="4" type="noConversion"/>
  </si>
  <si>
    <t>(10)=(4)+(8)+(9)</t>
    <phoneticPr fontId="4" type="noConversion"/>
  </si>
  <si>
    <t>台灣人壽</t>
    <phoneticPr fontId="4" type="noConversion"/>
  </si>
  <si>
    <t>國泰人壽</t>
    <phoneticPr fontId="4" type="noConversion"/>
  </si>
  <si>
    <t>凱基人壽</t>
    <phoneticPr fontId="4" type="noConversion"/>
  </si>
  <si>
    <t>南山人壽</t>
    <phoneticPr fontId="4" type="noConversion"/>
  </si>
  <si>
    <t>新光人壽</t>
    <phoneticPr fontId="4" type="noConversion"/>
  </si>
  <si>
    <t>三商美邦人壽</t>
    <phoneticPr fontId="4" type="noConversion"/>
  </si>
  <si>
    <t>富邦人壽</t>
    <phoneticPr fontId="4" type="noConversion"/>
  </si>
  <si>
    <t>全球人壽</t>
    <phoneticPr fontId="4" type="noConversion"/>
  </si>
  <si>
    <t>中央再保</t>
    <phoneticPr fontId="4" type="noConversion"/>
  </si>
  <si>
    <t>富邦產險</t>
    <phoneticPr fontId="4" type="noConversion"/>
  </si>
  <si>
    <t>和泰產險</t>
    <phoneticPr fontId="4" type="noConversion"/>
  </si>
  <si>
    <t>泰安產險</t>
    <phoneticPr fontId="4" type="noConversion"/>
  </si>
  <si>
    <t>明台產險</t>
    <phoneticPr fontId="4" type="noConversion"/>
  </si>
  <si>
    <t>新光產險</t>
    <phoneticPr fontId="4" type="noConversion"/>
  </si>
  <si>
    <t>國泰產險</t>
    <phoneticPr fontId="4" type="noConversion"/>
  </si>
  <si>
    <t>合計</t>
    <phoneticPr fontId="4" type="noConversion"/>
  </si>
  <si>
    <r>
      <t>To</t>
    </r>
    <r>
      <rPr>
        <sz val="11"/>
        <color theme="1"/>
        <rFont val="新細明體"/>
        <family val="2"/>
        <scheme val="minor"/>
      </rPr>
      <t>：</t>
    </r>
    <r>
      <rPr>
        <sz val="12"/>
        <rFont val="新細明體"/>
        <family val="1"/>
        <charset val="136"/>
      </rPr>
      <t>共保系統</t>
    </r>
    <phoneticPr fontId="4" type="noConversion"/>
  </si>
  <si>
    <t>攤付共保賠款：</t>
    <phoneticPr fontId="4" type="noConversion"/>
  </si>
  <si>
    <t>共保保費：</t>
    <phoneticPr fontId="4" type="noConversion"/>
  </si>
  <si>
    <t>志工團體保險</t>
    <phoneticPr fontId="4" type="noConversion"/>
  </si>
  <si>
    <t>共保管理費：</t>
    <phoneticPr fontId="4" type="noConversion"/>
  </si>
  <si>
    <t>Balance  Due</t>
    <phoneticPr fontId="4" type="noConversion"/>
  </si>
  <si>
    <t>授權簽署</t>
    <phoneticPr fontId="4" type="noConversion"/>
  </si>
  <si>
    <t>代號</t>
  </si>
  <si>
    <t>原　　因</t>
  </si>
  <si>
    <t>E800-E807</t>
  </si>
  <si>
    <t>鐵路事故</t>
  </si>
  <si>
    <t>E800</t>
  </si>
  <si>
    <t>鐵路車輛間相撞之鐵路事故</t>
  </si>
  <si>
    <t>E801</t>
  </si>
  <si>
    <t>與其他物體相撞之鐵路事故</t>
  </si>
  <si>
    <t>E802</t>
  </si>
  <si>
    <t>未先發生撞擊而出軌之鐵路事故</t>
  </si>
  <si>
    <t>E803</t>
  </si>
  <si>
    <t>爆炸、失火或燃燒之鐵路事故</t>
  </si>
  <si>
    <t>E804</t>
  </si>
  <si>
    <t>上下火車或由車內跌落</t>
  </si>
  <si>
    <t>E805</t>
  </si>
  <si>
    <t>被鐵路車輛撞及</t>
  </si>
  <si>
    <t>E806</t>
  </si>
  <si>
    <t>其他明示之鐵路事故</t>
  </si>
  <si>
    <t>E807</t>
  </si>
  <si>
    <t>未明示性質之鐵路事故</t>
  </si>
  <si>
    <t>E810-E819</t>
  </si>
  <si>
    <t>機動車交通事故</t>
  </si>
  <si>
    <t>E810</t>
  </si>
  <si>
    <t>與火車相撞引起之機動車交通事故</t>
  </si>
  <si>
    <t>E811</t>
  </si>
  <si>
    <t>與另一機動車再進入時相撞之機動車交通事故</t>
  </si>
  <si>
    <t>E812</t>
  </si>
  <si>
    <t>與另一機動車相撞之其他機動車交通事故</t>
  </si>
  <si>
    <t>E813</t>
  </si>
  <si>
    <t>與其他車輛相撞之機動車交通事故</t>
  </si>
  <si>
    <t>E814</t>
  </si>
  <si>
    <t>與行人相撞之機動車交通事故</t>
  </si>
  <si>
    <t>E815</t>
  </si>
  <si>
    <t>在公路上相撞之其他機動車交通事故</t>
  </si>
  <si>
    <t>E816</t>
  </si>
  <si>
    <t>失去控制所致之機動車交通事故，未提及在公路上相撞</t>
  </si>
  <si>
    <t>E817</t>
  </si>
  <si>
    <t>在上下車時發生之非相撞的機動車交通事故</t>
  </si>
  <si>
    <t>E818</t>
  </si>
  <si>
    <t>其他非相撞之機動車交通事故</t>
  </si>
  <si>
    <t>E819</t>
  </si>
  <si>
    <t>未明示性質之機動車交通事故</t>
  </si>
  <si>
    <t>E820-E825</t>
  </si>
  <si>
    <t>機動車非交通事故</t>
  </si>
  <si>
    <t>E820</t>
  </si>
  <si>
    <t>機動雪地車輛之非交通事故</t>
  </si>
  <si>
    <t>E821</t>
  </si>
  <si>
    <t>其他道路外機動車之非交通事故</t>
  </si>
  <si>
    <t>E822</t>
  </si>
  <si>
    <t>與移動中物體相撞之其他機動車非交通事故</t>
  </si>
  <si>
    <t>E823</t>
  </si>
  <si>
    <t>與不動物體相撞之其他機動車非交通事故</t>
  </si>
  <si>
    <t>E824</t>
  </si>
  <si>
    <t>在上下車時之其他機動車非交通事故</t>
  </si>
  <si>
    <t>E825</t>
  </si>
  <si>
    <t>其他非明示性質之其他機動車非交通事故</t>
  </si>
  <si>
    <t>E826-E829</t>
  </si>
  <si>
    <t xml:space="preserve">其他道路車輛事故   </t>
  </si>
  <si>
    <t>E826</t>
  </si>
  <si>
    <t>腳踏車事故</t>
  </si>
  <si>
    <t>E827</t>
  </si>
  <si>
    <t>動物拖曳車輛事故</t>
  </si>
  <si>
    <t>E828</t>
  </si>
  <si>
    <t>乘人之動物事故</t>
  </si>
  <si>
    <t>E829</t>
  </si>
  <si>
    <t>E830-E838</t>
  </si>
  <si>
    <t>水陸運輸事故</t>
  </si>
  <si>
    <t>E830</t>
  </si>
  <si>
    <t>導致沉船之船舶事故</t>
  </si>
  <si>
    <t>E831</t>
  </si>
  <si>
    <t>導致其他傷害之船舶事故</t>
  </si>
  <si>
    <t>E832</t>
  </si>
  <si>
    <t>水陸運輸之其他意外沉船或淹溺事故</t>
  </si>
  <si>
    <t>E833</t>
  </si>
  <si>
    <t>水陸運輸中摔倒階梯上</t>
  </si>
  <si>
    <t>E834</t>
  </si>
  <si>
    <t>水陸運輸中由一層摔到另一層</t>
  </si>
  <si>
    <t>E835</t>
  </si>
  <si>
    <t>水陸運輸中之其他及未明示之摔倒</t>
  </si>
  <si>
    <t>E836</t>
  </si>
  <si>
    <t>水陸運輸中之機械事故</t>
  </si>
  <si>
    <t>E837</t>
  </si>
  <si>
    <t>船舶上爆炸、失火或燃燒</t>
  </si>
  <si>
    <t>E838</t>
  </si>
  <si>
    <t>其他未明示之水路運輸事故</t>
  </si>
  <si>
    <t>E840-E845</t>
  </si>
  <si>
    <t>航空及太空運輸事故</t>
  </si>
  <si>
    <t>E840</t>
  </si>
  <si>
    <t>動力飛行器起飛或降落</t>
  </si>
  <si>
    <t>E841</t>
  </si>
  <si>
    <t>動力飛行器事故，其他及未明示者</t>
  </si>
  <si>
    <t>E842</t>
  </si>
  <si>
    <t>無動力飛行器事故(不含飛行傘)</t>
  </si>
  <si>
    <t>E84A</t>
  </si>
  <si>
    <t>飛行傘事故</t>
  </si>
  <si>
    <t>E843</t>
  </si>
  <si>
    <t>上下飛行器或由飛行器跌落(不含飛行傘)</t>
  </si>
  <si>
    <t>E84B</t>
  </si>
  <si>
    <t>上下飛行傘或由飛行傘跌落</t>
  </si>
  <si>
    <t>E844</t>
  </si>
  <si>
    <t>其他明示之空運事故</t>
  </si>
  <si>
    <t>E845</t>
  </si>
  <si>
    <t>太空船事故</t>
  </si>
  <si>
    <t>E846-E848</t>
  </si>
  <si>
    <t>車輛事故，他處未歸類者</t>
  </si>
  <si>
    <t>E846</t>
  </si>
  <si>
    <t>僅用於工業或商業建築之動力車輛事故</t>
  </si>
  <si>
    <t>E847</t>
  </si>
  <si>
    <t>纜車事故，無軌道行使者</t>
  </si>
  <si>
    <t>E848</t>
  </si>
  <si>
    <t>其他車輛事故，他處未歸類者</t>
  </si>
  <si>
    <t>E850-E858</t>
  </si>
  <si>
    <t>藥品、藥物及生物製劑之意外中毒</t>
  </si>
  <si>
    <t>E850</t>
  </si>
  <si>
    <t>鎮痛劑、解熱劑、抗風濕病劑之意外中毒</t>
  </si>
  <si>
    <t>E851</t>
  </si>
  <si>
    <t>巴比妥鹽所致之意外中毒</t>
  </si>
  <si>
    <t>E852</t>
  </si>
  <si>
    <t>其他鎮定劑及安眠藥所致之意外中毒</t>
  </si>
  <si>
    <t>E853</t>
  </si>
  <si>
    <t>安神劑所致之意外中毒</t>
  </si>
  <si>
    <t>E854</t>
  </si>
  <si>
    <t>其他精神轉化劑之意外中毒</t>
  </si>
  <si>
    <t>E855</t>
  </si>
  <si>
    <t>作用在中樞及自主神經系統之其他藥品所致之意外中毒</t>
  </si>
  <si>
    <t>E856</t>
  </si>
  <si>
    <t>抗生素所致之意外中毒</t>
  </si>
  <si>
    <t>E857</t>
  </si>
  <si>
    <t>抗感染劑所致之意外中毒</t>
  </si>
  <si>
    <t>E858</t>
  </si>
  <si>
    <t>其他藥品所致之意外中毒</t>
  </si>
  <si>
    <t>E860-E869</t>
  </si>
  <si>
    <t>其他固體及液體物質、氣體與蒸氣之意外中毒</t>
  </si>
  <si>
    <t>E860</t>
  </si>
  <si>
    <t>酒精意外中毒，他處未歸類者</t>
  </si>
  <si>
    <t>E861</t>
  </si>
  <si>
    <t>清潔劑及亮光劑、消毒劑、油漆類所致之意外中毒</t>
  </si>
  <si>
    <t>E862</t>
  </si>
  <si>
    <t>石油製品、其他溶劑及其蒸氣所致之意外中毒，他處未歸類者</t>
  </si>
  <si>
    <t>E863</t>
  </si>
  <si>
    <t>農業園藝用化學劑及藥學製劑所致之意外中毒，植物養料及肥料除外</t>
  </si>
  <si>
    <t>E864</t>
  </si>
  <si>
    <t>腐蝕劑所致之意外中毒，他處未歸類者</t>
  </si>
  <si>
    <t>E865</t>
  </si>
  <si>
    <t>食品及毒性植物之意外中毒</t>
  </si>
  <si>
    <t>E867</t>
  </si>
  <si>
    <t>管配瓦斯之意外中毒</t>
  </si>
  <si>
    <t>E868</t>
  </si>
  <si>
    <t>其他可用氣體及其他一氧化碳之意外中毒</t>
  </si>
  <si>
    <t>E869</t>
  </si>
  <si>
    <t>其他氣體及蒸氣之意外中毒</t>
  </si>
  <si>
    <t>E870-E876</t>
  </si>
  <si>
    <t>外科及內科醫療中病人之意外事件</t>
  </si>
  <si>
    <t>E870</t>
  </si>
  <si>
    <t>醫療時之意外切傷、穿刺傷、穿孔或出血</t>
  </si>
  <si>
    <t>E871</t>
  </si>
  <si>
    <t>醫療過程中存留體內之異物</t>
  </si>
  <si>
    <t>E872</t>
  </si>
  <si>
    <t>醫療過程中無菌預防措施失當</t>
  </si>
  <si>
    <t>E873</t>
  </si>
  <si>
    <t>劑量失當</t>
  </si>
  <si>
    <t>E874</t>
  </si>
  <si>
    <t>醫療過程中儀器或用具機械故障</t>
  </si>
  <si>
    <t>E875</t>
  </si>
  <si>
    <t>倍污染或傳染之出血、其他液體、藥品或生物物質</t>
  </si>
  <si>
    <t>E876</t>
  </si>
  <si>
    <t>醫療中之其他及未明示意外事件</t>
  </si>
  <si>
    <t>E878-E879</t>
  </si>
  <si>
    <t>引起病人異常反應或後期併發症之外科及內科醫療程序，未提及醫療過程中之意外事件</t>
  </si>
  <si>
    <t>E878</t>
  </si>
  <si>
    <t>E879</t>
  </si>
  <si>
    <t>未提及醫療過程中意外事件之其他程序,病人異常反應或後期併發症所致者</t>
  </si>
  <si>
    <t>E880-E888</t>
  </si>
  <si>
    <t>意外墜落</t>
  </si>
  <si>
    <t>E880</t>
  </si>
  <si>
    <t>由樓梯或階梯上跌落或跌倒</t>
  </si>
  <si>
    <t>E881</t>
  </si>
  <si>
    <t>由梯子或鷹架上跌落或跌倒</t>
  </si>
  <si>
    <t>E882</t>
  </si>
  <si>
    <t>由房屋或其他建築物上跌落</t>
  </si>
  <si>
    <t>E883</t>
  </si>
  <si>
    <t>跌入洞穴或其他地面開口處</t>
  </si>
  <si>
    <t>E884</t>
  </si>
  <si>
    <t>其他由某一高度跌至另一高度</t>
  </si>
  <si>
    <t>E885</t>
  </si>
  <si>
    <t>於同一水平面上滑倒、摔倒或絆倒</t>
  </si>
  <si>
    <t>E886</t>
  </si>
  <si>
    <t>由被他人或與他人撞、推或擠於同一平面上</t>
  </si>
  <si>
    <t>E887</t>
  </si>
  <si>
    <t>骨折，未明示原因者</t>
  </si>
  <si>
    <t>E888</t>
  </si>
  <si>
    <t>其他及未明示之跌落</t>
  </si>
  <si>
    <t>E890-E899</t>
  </si>
  <si>
    <t>火及火焰所致之意外事故</t>
  </si>
  <si>
    <t>E890</t>
  </si>
  <si>
    <t>私宅火災</t>
  </si>
  <si>
    <t>E891</t>
  </si>
  <si>
    <t>其他及未明示之房屋或建築物之火災</t>
  </si>
  <si>
    <t>E892</t>
  </si>
  <si>
    <t>房屋或建築物外之火災</t>
  </si>
  <si>
    <t>E893</t>
  </si>
  <si>
    <t>衣物起火所致之意外事故</t>
  </si>
  <si>
    <t>E894</t>
  </si>
  <si>
    <t>高度易燃物起火</t>
  </si>
  <si>
    <t>E895</t>
  </si>
  <si>
    <t>已控制之私宅火災所致 之意外事故</t>
  </si>
  <si>
    <t>E896</t>
  </si>
  <si>
    <t>已控制之其他及未明示之房屋或建築物火災所致 之意外事故</t>
  </si>
  <si>
    <t>E897</t>
  </si>
  <si>
    <t>已控制之房屋或建築物火災所致 之意外事故</t>
  </si>
  <si>
    <t>E898</t>
  </si>
  <si>
    <t>其他明示火及火焰所致之意外事故</t>
  </si>
  <si>
    <t>E899</t>
  </si>
  <si>
    <t>未明示火災所致之意外事故</t>
  </si>
  <si>
    <t>E900-E909</t>
  </si>
  <si>
    <t>自然及環境因素所致之意外事故</t>
  </si>
  <si>
    <t>E900</t>
  </si>
  <si>
    <t>過熱</t>
  </si>
  <si>
    <t>E901</t>
  </si>
  <si>
    <t>過冷</t>
  </si>
  <si>
    <t>E902</t>
  </si>
  <si>
    <t>高氣壓及低氣壓與氣壓之變化</t>
  </si>
  <si>
    <t>E903</t>
  </si>
  <si>
    <t>旅行及運動</t>
  </si>
  <si>
    <t>E904</t>
  </si>
  <si>
    <t>飢餓、乾渇、暴露、疏忽</t>
  </si>
  <si>
    <t>E905</t>
  </si>
  <si>
    <t>有毒動植物所致之中毒及毒性反應</t>
  </si>
  <si>
    <t>E906</t>
  </si>
  <si>
    <t>動物所致之其他傷害</t>
  </si>
  <si>
    <t>E907</t>
  </si>
  <si>
    <t>雷擊</t>
  </si>
  <si>
    <t>E908</t>
  </si>
  <si>
    <t>暴風及暴風雨之洪水所致之劇變</t>
  </si>
  <si>
    <t>E909</t>
  </si>
  <si>
    <t>地殼變動及火山爆發所致之劇變</t>
  </si>
  <si>
    <t>E910-E915</t>
  </si>
  <si>
    <t>溺水、窒息及異物所致之意外事故</t>
  </si>
  <si>
    <t>E910</t>
  </si>
  <si>
    <t>意外淹死及溺水</t>
  </si>
  <si>
    <t>E911</t>
  </si>
  <si>
    <t>吸入或食入食物所致之呼吸道阻塞或窒息</t>
  </si>
  <si>
    <t>E912</t>
  </si>
  <si>
    <t>吸入或食入其他物體所致之呼吸道阻塞或窒息</t>
  </si>
  <si>
    <t>E913</t>
  </si>
  <si>
    <t>機械性窒息之意外事故</t>
  </si>
  <si>
    <t>E914</t>
  </si>
  <si>
    <t>異物意外進入眼內及其附屬器官</t>
  </si>
  <si>
    <t>E915</t>
  </si>
  <si>
    <t>異物意外進入其他孔口內</t>
  </si>
  <si>
    <t>E916-E928</t>
  </si>
  <si>
    <t>其他意外事故</t>
  </si>
  <si>
    <t>E916</t>
  </si>
  <si>
    <t>被落物意外擊中</t>
  </si>
  <si>
    <t>E917</t>
  </si>
  <si>
    <t>被物體或人意外撞擊或擊中</t>
  </si>
  <si>
    <t>E918</t>
  </si>
  <si>
    <t>意外絆入或夾入物體中</t>
  </si>
  <si>
    <t>E919</t>
  </si>
  <si>
    <t>機械所致之意外事故</t>
  </si>
  <si>
    <t>E920</t>
  </si>
  <si>
    <t>切穿工具或物體所致之意外事故</t>
  </si>
  <si>
    <t>E921</t>
  </si>
  <si>
    <t>壓力容器爆炸所致之意外事故</t>
  </si>
  <si>
    <t>E922</t>
  </si>
  <si>
    <t>鎗砲、彈片所致之意外事故</t>
  </si>
  <si>
    <t>E923</t>
  </si>
  <si>
    <t>爆炸物所致之意外事故</t>
  </si>
  <si>
    <t>E924</t>
  </si>
  <si>
    <t>高熱物、腐蝕物及蒸氣所致之意外事故</t>
  </si>
  <si>
    <t>E925</t>
  </si>
  <si>
    <t>電流所致之意外事故</t>
  </si>
  <si>
    <t>E926</t>
  </si>
  <si>
    <t>暴露於放射線</t>
  </si>
  <si>
    <t>E927</t>
  </si>
  <si>
    <t>過度運動及費力運動</t>
  </si>
  <si>
    <t>E928</t>
  </si>
  <si>
    <t>其他及未明示之環境及意外因素</t>
  </si>
  <si>
    <t>E929-E929</t>
  </si>
  <si>
    <t>意外傷害之後期影響</t>
  </si>
  <si>
    <t>E929</t>
  </si>
  <si>
    <t>E930-E949</t>
  </si>
  <si>
    <t>治療用之藥品、藥物及生物物質所致之不良影響</t>
  </si>
  <si>
    <t>E930</t>
  </si>
  <si>
    <t>抗生素</t>
  </si>
  <si>
    <t>E931</t>
  </si>
  <si>
    <t>其他抗感染劑</t>
  </si>
  <si>
    <t>E932</t>
  </si>
  <si>
    <t>賀爾蒙及合成代用物</t>
  </si>
  <si>
    <t>E933</t>
  </si>
  <si>
    <t>全身性藥劑</t>
  </si>
  <si>
    <t>E934</t>
  </si>
  <si>
    <t>主要影響血液成分之藥劑</t>
  </si>
  <si>
    <t>E935</t>
  </si>
  <si>
    <t>鎮痛劑、解熱劑及抗風濕病劑</t>
  </si>
  <si>
    <t>E936</t>
  </si>
  <si>
    <t>抗痙攣劑及抗柏金森病藥品</t>
  </si>
  <si>
    <t>E937</t>
  </si>
  <si>
    <t>鎮痛劑及催眠劑</t>
  </si>
  <si>
    <t>E938</t>
  </si>
  <si>
    <t>其他中樞神經系統抑制劑</t>
  </si>
  <si>
    <t>E939</t>
  </si>
  <si>
    <t>精神轉化劑</t>
  </si>
  <si>
    <t>E940</t>
  </si>
  <si>
    <t>中樞神經系統興奮劑</t>
  </si>
  <si>
    <t>E941</t>
  </si>
  <si>
    <t>主要影響自主神經系統之藥品</t>
  </si>
  <si>
    <t>E942</t>
  </si>
  <si>
    <t>主要影響心臟血管系統之藥劑</t>
  </si>
  <si>
    <t>E943</t>
  </si>
  <si>
    <t>主要影響腸胃系統之藥劑</t>
  </si>
  <si>
    <t>E944</t>
  </si>
  <si>
    <t>水、礦物質及尿酸代謝劑</t>
  </si>
  <si>
    <t>E945</t>
  </si>
  <si>
    <t>主要作用於平滑肌、骨骼肌及呼吸系統之藥劑</t>
  </si>
  <si>
    <t>E946</t>
  </si>
  <si>
    <t>主要作用於皮膚、粘膜、眼、耳鼻喉及牙之藥品</t>
  </si>
  <si>
    <t>E947</t>
  </si>
  <si>
    <t>其他及未明示之藥品與藥物</t>
  </si>
  <si>
    <t>E948</t>
  </si>
  <si>
    <t>細菌性疫苗</t>
  </si>
  <si>
    <t>E949</t>
  </si>
  <si>
    <t>其他疫苗及生物物質</t>
  </si>
  <si>
    <t>E950-E959</t>
  </si>
  <si>
    <t>自殺及自傷</t>
  </si>
  <si>
    <t>E950</t>
  </si>
  <si>
    <t>以固體或液體物質自殺及自為中毒</t>
  </si>
  <si>
    <t>E951</t>
  </si>
  <si>
    <t>以家用瓦斯自殺及自為中毒</t>
  </si>
  <si>
    <t>E952</t>
  </si>
  <si>
    <t>由其他氣體及蒸氣自殺及自為中毒</t>
  </si>
  <si>
    <t>E953</t>
  </si>
  <si>
    <t>吊死、勒死及窒息之自殺及自傷</t>
  </si>
  <si>
    <t>E954</t>
  </si>
  <si>
    <t>溺水 (淹死) 自殺及自傷</t>
  </si>
  <si>
    <t>E955</t>
  </si>
  <si>
    <t>鎗砲及爆炸物自殺及自傷</t>
  </si>
  <si>
    <t>E956</t>
  </si>
  <si>
    <t>切穿工具自殺及自傷</t>
  </si>
  <si>
    <t>E957</t>
  </si>
  <si>
    <t>由高處跳下自殺及自傷</t>
  </si>
  <si>
    <t>E958</t>
  </si>
  <si>
    <t>其他及未明示之方式自殺及自傷</t>
  </si>
  <si>
    <t>E960-E969</t>
  </si>
  <si>
    <t>他殺及被他人故意傷害</t>
  </si>
  <si>
    <t>E960</t>
  </si>
  <si>
    <t>格鬥、打架 、強姦</t>
  </si>
  <si>
    <t>E961</t>
  </si>
  <si>
    <t>以腐蝕性物質加害，下毒除外</t>
  </si>
  <si>
    <t>E962</t>
  </si>
  <si>
    <t>下毒加害</t>
  </si>
  <si>
    <t>E963</t>
  </si>
  <si>
    <t>吊死或勒死之加害</t>
  </si>
  <si>
    <t>E964</t>
  </si>
  <si>
    <t>溺水  (淹死) 之加害</t>
  </si>
  <si>
    <t>E965</t>
  </si>
  <si>
    <t>鎗砲及爆炸物之加害</t>
  </si>
  <si>
    <t>E966</t>
  </si>
  <si>
    <t>切穿工具之加害</t>
  </si>
  <si>
    <t>E967</t>
  </si>
  <si>
    <t>毆打孩童及其他養護欠妥</t>
  </si>
  <si>
    <t>E968</t>
  </si>
  <si>
    <t>被其他及未明示之方式加害</t>
  </si>
  <si>
    <t>E969</t>
  </si>
  <si>
    <t>被他人故意傷害之後期影響</t>
  </si>
  <si>
    <t>E970-E978</t>
  </si>
  <si>
    <t>依法制裁</t>
  </si>
  <si>
    <t>E970</t>
  </si>
  <si>
    <t>執法所致之槍砲傷害</t>
  </si>
  <si>
    <t>E971</t>
  </si>
  <si>
    <t>執法所致之爆炸物傷害</t>
  </si>
  <si>
    <t>E972</t>
  </si>
  <si>
    <t>執法所致之瓦斯傷害</t>
  </si>
  <si>
    <t>E973</t>
  </si>
  <si>
    <t>執法所致之鈍器傷害</t>
  </si>
  <si>
    <t>E974</t>
  </si>
  <si>
    <t>執法所致之切穿工具傷害</t>
  </si>
  <si>
    <t>E975</t>
  </si>
  <si>
    <t>執法所致之其他明示方式之傷害</t>
  </si>
  <si>
    <t>E976</t>
  </si>
  <si>
    <t>執法所致之其他未明示方式之傷害</t>
  </si>
  <si>
    <t>E977</t>
  </si>
  <si>
    <t>執法所致傷害之後期影響</t>
  </si>
  <si>
    <t>E978</t>
  </si>
  <si>
    <t>依法行刑</t>
  </si>
  <si>
    <t>E980-E989</t>
  </si>
  <si>
    <t>未確定是否意外或意之故傷害</t>
  </si>
  <si>
    <t>E980</t>
  </si>
  <si>
    <t>固體或液體物質中毒，未確定是否意外或故意者</t>
  </si>
  <si>
    <t>E981</t>
  </si>
  <si>
    <t>家用瓦斯中毒，未確定是否意外或故意者</t>
  </si>
  <si>
    <t>E982</t>
  </si>
  <si>
    <t>其他氣體中毒，未確定是否意外或故意者</t>
  </si>
  <si>
    <t>E983</t>
  </si>
  <si>
    <t>吊死、勒死或窒息，未確定是否意外或故意者</t>
  </si>
  <si>
    <t>E984</t>
  </si>
  <si>
    <t>溺水  (淹水) ，未確定是否意外或故意者</t>
  </si>
  <si>
    <t>E985</t>
  </si>
  <si>
    <t>鎗砲或爆炸物所致之傷害，未確定是否意外或故意者</t>
  </si>
  <si>
    <t>E986</t>
  </si>
  <si>
    <t>切穿工具之傷害，未確定是否意外或故意者</t>
  </si>
  <si>
    <t>E987</t>
  </si>
  <si>
    <t>由高處跌落，未確定是否意外或故意者</t>
  </si>
  <si>
    <t>E988</t>
  </si>
  <si>
    <t>未明示方式所致傷害，未確定是否意外或故意者</t>
  </si>
  <si>
    <t>E989</t>
  </si>
  <si>
    <t>傷害之後期影響，未確定是否意外或故意者</t>
  </si>
  <si>
    <t>E990-E999</t>
  </si>
  <si>
    <t>戰爭所致之傷害</t>
  </si>
  <si>
    <t>E990</t>
  </si>
  <si>
    <t>戰爭行動中火災及大火所致之傷害</t>
  </si>
  <si>
    <t>E991</t>
  </si>
  <si>
    <t>戰爭行動中子彈及碎片所致之傷害</t>
  </si>
  <si>
    <t>E992</t>
  </si>
  <si>
    <t>戰爭行動中由海上武器爆炸物所致之傷害</t>
  </si>
  <si>
    <t>E993</t>
  </si>
  <si>
    <t>戰爭行動中由其他爆炸物所致之傷害</t>
  </si>
  <si>
    <t>E994</t>
  </si>
  <si>
    <t>戰爭行動中飛行器毀壞所致之傷害</t>
  </si>
  <si>
    <t>E995</t>
  </si>
  <si>
    <t>戰爭行動中其他未明示之傳統戰爭形式所致之傷害</t>
  </si>
  <si>
    <t>E996</t>
  </si>
  <si>
    <t>戰爭行動中核子武器所致之傷害</t>
  </si>
  <si>
    <t>E997</t>
  </si>
  <si>
    <t>戰爭行動中其他形式非傳統戰爭所致之傷害</t>
  </si>
  <si>
    <t>E998</t>
  </si>
  <si>
    <t>戰爭行動中戰闘終止後發生之傷害</t>
  </si>
  <si>
    <t>E999</t>
  </si>
  <si>
    <t>戰爭行動中所致傷害之後期影響</t>
  </si>
  <si>
    <t>華南產險</t>
    <phoneticPr fontId="3" type="noConversion"/>
  </si>
  <si>
    <t>C欄已付賠款(3)：由共保理費匯入檔內之已決賠款合計數</t>
    <phoneticPr fontId="3" type="noConversion"/>
  </si>
  <si>
    <t>B欄(保費(2))：欄位數字由共保保費匯入檔內之保費合計數</t>
    <phoneticPr fontId="3" type="noConversion"/>
  </si>
  <si>
    <t>E欄共保成分(5)：壽險公司確認分配比例後方能提供成分表</t>
    <phoneticPr fontId="3" type="noConversion"/>
  </si>
  <si>
    <t>F欄應分配保費(6)：由B欄合計數*各公司所分配之成分數</t>
    <phoneticPr fontId="3" type="noConversion"/>
  </si>
  <si>
    <t>G欄應攤配賠款(7)：由C欄合計數*各公司所分配之成分數</t>
    <phoneticPr fontId="3" type="noConversion"/>
  </si>
  <si>
    <t>H欄應攤收(付)淨額(8)：為F+G欄位</t>
    <phoneticPr fontId="3" type="noConversion"/>
  </si>
  <si>
    <t>D欄應收（付）淨額(4)：為B+C欄位</t>
    <phoneticPr fontId="3" type="noConversion"/>
  </si>
  <si>
    <t>I欄應繳共保管理會費(9)：為F欄*5%</t>
    <phoneticPr fontId="3" type="noConversion"/>
  </si>
  <si>
    <t>傷害健康保險共保組織--執行災害防救業務志工團體保險</t>
    <phoneticPr fontId="4" type="noConversion"/>
  </si>
  <si>
    <t>納入共保保費</t>
    <phoneticPr fontId="4" type="noConversion"/>
  </si>
  <si>
    <t>單位:新台幣元</t>
    <phoneticPr fontId="4" type="noConversion"/>
  </si>
  <si>
    <t>公司名稱</t>
    <phoneticPr fontId="4" type="noConversion"/>
  </si>
  <si>
    <t>保費合計</t>
    <phoneticPr fontId="4" type="noConversion"/>
  </si>
  <si>
    <t>被保險
人　數</t>
    <phoneticPr fontId="4" type="noConversion"/>
  </si>
  <si>
    <t>欄位定義</t>
    <phoneticPr fontId="3" type="noConversion"/>
  </si>
  <si>
    <t>秘書：</t>
    <phoneticPr fontId="4" type="noConversion"/>
  </si>
  <si>
    <t>覆核：</t>
    <phoneticPr fontId="4" type="noConversion"/>
  </si>
  <si>
    <t>Ｕ/Y：  年-同資料統計年(例：115年8月匯入7月份，此欄顯示為Ｕ/Y：2026年)</t>
    <phoneticPr fontId="3" type="noConversion"/>
  </si>
  <si>
    <t>資料統計年月--同帳單年份、月份(例：115年8月匯入7月份，此欄顯示為資料統計年月115年7月)</t>
    <phoneticPr fontId="3" type="noConversion"/>
  </si>
  <si>
    <t>執行災害防救業務志工團體保險共保保費檔案傳遞格式</t>
    <phoneticPr fontId="3" type="noConversion"/>
  </si>
  <si>
    <t>項目</t>
    <phoneticPr fontId="3" type="noConversion"/>
  </si>
  <si>
    <t>欄位名稱</t>
    <phoneticPr fontId="3" type="noConversion"/>
  </si>
  <si>
    <t>欄位長度</t>
    <phoneticPr fontId="3" type="noConversion"/>
  </si>
  <si>
    <t>偵錯規則</t>
    <phoneticPr fontId="3" type="noConversion"/>
  </si>
  <si>
    <t>批改原因代號表</t>
  </si>
  <si>
    <t>帳單年度</t>
    <phoneticPr fontId="3" type="noConversion"/>
  </si>
  <si>
    <t>X(3)</t>
    <phoneticPr fontId="3" type="noConversion"/>
  </si>
  <si>
    <t>&gt;=103</t>
    <phoneticPr fontId="3" type="noConversion"/>
  </si>
  <si>
    <t>批改代號</t>
    <phoneticPr fontId="3" type="noConversion"/>
  </si>
  <si>
    <t>批改原因</t>
    <phoneticPr fontId="3" type="noConversion"/>
  </si>
  <si>
    <t>帳單月份</t>
    <phoneticPr fontId="3" type="noConversion"/>
  </si>
  <si>
    <t>X(2)</t>
    <phoneticPr fontId="3" type="noConversion"/>
  </si>
  <si>
    <t>&gt;=1且&lt;=12</t>
    <phoneticPr fontId="3" type="noConversion"/>
  </si>
  <si>
    <t>A</t>
    <phoneticPr fontId="3" type="noConversion"/>
  </si>
  <si>
    <t>保期平移</t>
    <phoneticPr fontId="3" type="noConversion"/>
  </si>
  <si>
    <t>公司</t>
    <phoneticPr fontId="3" type="noConversion"/>
  </si>
  <si>
    <r>
      <t>各公司須依「基本設定」之公司代號，</t>
    </r>
    <r>
      <rPr>
        <b/>
        <sz val="12"/>
        <color rgb="FFFF0000"/>
        <rFont val="微軟正黑體"/>
        <family val="2"/>
        <charset val="136"/>
      </rPr>
      <t>N為產險，L為壽險。</t>
    </r>
    <phoneticPr fontId="3" type="noConversion"/>
  </si>
  <si>
    <t>B</t>
    <phoneticPr fontId="3" type="noConversion"/>
  </si>
  <si>
    <t>縮短保期</t>
    <phoneticPr fontId="3" type="noConversion"/>
  </si>
  <si>
    <t>保單號碼</t>
    <phoneticPr fontId="3" type="noConversion"/>
  </si>
  <si>
    <t>X(20)</t>
    <phoneticPr fontId="3" type="noConversion"/>
  </si>
  <si>
    <t>不能為空白</t>
    <phoneticPr fontId="3" type="noConversion"/>
  </si>
  <si>
    <t>C</t>
    <phoneticPr fontId="3" type="noConversion"/>
  </si>
  <si>
    <t>延長保期</t>
    <phoneticPr fontId="3" type="noConversion"/>
  </si>
  <si>
    <t>批單號碼</t>
    <phoneticPr fontId="3" type="noConversion"/>
  </si>
  <si>
    <t>若批單起日、迄日非空白，則批單號碼不能為空白</t>
    <phoneticPr fontId="3" type="noConversion"/>
  </si>
  <si>
    <t>D</t>
    <phoneticPr fontId="3" type="noConversion"/>
  </si>
  <si>
    <t>註銷</t>
    <phoneticPr fontId="3" type="noConversion"/>
  </si>
  <si>
    <t>年齡代號</t>
    <phoneticPr fontId="3" type="noConversion"/>
  </si>
  <si>
    <t>X(1)</t>
    <phoneticPr fontId="3" type="noConversion"/>
  </si>
  <si>
    <t>(暫時保留，初步設定為"0")</t>
  </si>
  <si>
    <t>E</t>
    <phoneticPr fontId="3" type="noConversion"/>
  </si>
  <si>
    <t>人數增加</t>
    <phoneticPr fontId="3" type="noConversion"/>
  </si>
  <si>
    <t>被保險人數</t>
    <phoneticPr fontId="3" type="noConversion"/>
  </si>
  <si>
    <t>X(5)</t>
    <phoneticPr fontId="3" type="noConversion"/>
  </si>
  <si>
    <t>&gt;0</t>
    <phoneticPr fontId="3" type="noConversion"/>
  </si>
  <si>
    <t>F</t>
    <phoneticPr fontId="3" type="noConversion"/>
  </si>
  <si>
    <t>人數減少</t>
    <phoneticPr fontId="3" type="noConversion"/>
  </si>
  <si>
    <t>保單起日(民國年)</t>
    <phoneticPr fontId="3" type="noConversion"/>
  </si>
  <si>
    <t>X(7)</t>
    <phoneticPr fontId="3" type="noConversion"/>
  </si>
  <si>
    <t>yyymmdd。不能為空白</t>
    <phoneticPr fontId="3" type="noConversion"/>
  </si>
  <si>
    <t>保單迄日(民國年)</t>
    <phoneticPr fontId="3" type="noConversion"/>
  </si>
  <si>
    <t>批單起日(民國年)</t>
    <phoneticPr fontId="3" type="noConversion"/>
  </si>
  <si>
    <t>批單迄日(民國年)</t>
    <phoneticPr fontId="3" type="noConversion"/>
  </si>
  <si>
    <t>每人保險
金額</t>
    <phoneticPr fontId="3" type="noConversion"/>
  </si>
  <si>
    <t>身故殘廢</t>
    <phoneticPr fontId="3" type="noConversion"/>
  </si>
  <si>
    <t>X(8)</t>
    <phoneticPr fontId="3" type="noConversion"/>
  </si>
  <si>
    <t>&lt;=1000000</t>
    <phoneticPr fontId="3" type="noConversion"/>
  </si>
  <si>
    <t>實支醫療</t>
    <phoneticPr fontId="3" type="noConversion"/>
  </si>
  <si>
    <t>(暫時保留，初步設定為"0")</t>
    <phoneticPr fontId="3" type="noConversion"/>
  </si>
  <si>
    <t>日額費用</t>
    <phoneticPr fontId="3" type="noConversion"/>
  </si>
  <si>
    <t>納入共保
保費合計
(純保費)</t>
    <phoneticPr fontId="3" type="noConversion"/>
  </si>
  <si>
    <t>保費合計</t>
    <phoneticPr fontId="3" type="noConversion"/>
  </si>
  <si>
    <t>項次15+項次16+項次17</t>
    <phoneticPr fontId="3" type="noConversion"/>
  </si>
  <si>
    <t>備註(批改原因)</t>
    <phoneticPr fontId="3" type="noConversion"/>
  </si>
  <si>
    <t>依「批改原因代號表」。A,B,C,D,E,F。若批單號碼非空白，備註亦不得空白</t>
    <phoneticPr fontId="3" type="noConversion"/>
  </si>
  <si>
    <t>註:若欄位不足數，則往前補0</t>
    <phoneticPr fontId="3" type="noConversion"/>
  </si>
  <si>
    <t>秘書長：</t>
    <phoneticPr fontId="4" type="noConversion"/>
  </si>
  <si>
    <t xml:space="preserve">    製表：</t>
    <phoneticPr fontId="3" type="noConversion"/>
  </si>
  <si>
    <t>資料統計年月：115年5月</t>
    <phoneticPr fontId="4" type="noConversion"/>
  </si>
  <si>
    <t>中華民國115年01月至12月份</t>
    <phoneticPr fontId="3" type="noConversion"/>
  </si>
  <si>
    <t>Ｕ/Y：2026</t>
    <phoneticPr fontId="4" type="noConversion"/>
  </si>
  <si>
    <r>
      <rPr>
        <sz val="18"/>
        <rFont val="新細明體"/>
        <family val="1"/>
        <charset val="136"/>
      </rPr>
      <t>Ｕ/</t>
    </r>
    <r>
      <rPr>
        <sz val="18"/>
        <rFont val="Times New Roman"/>
        <family val="1"/>
      </rPr>
      <t>Y</t>
    </r>
    <r>
      <rPr>
        <sz val="18"/>
        <rFont val="新細明體"/>
        <family val="1"/>
        <charset val="136"/>
      </rPr>
      <t>：2026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</si>
</sst>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&quot;月&quot;"/>
    <numFmt numFmtId="178" formatCode="#,##0_ "/>
    <numFmt numFmtId="179" formatCode="00"/>
    <numFmt numFmtId="180" formatCode="_-* #,##0.0_-;\-* #,##0.0_-;_-* &quot;-&quot;??_-;_-@_-"/>
    <numFmt numFmtId="181" formatCode="0.0%"/>
  </numFmts>
  <fonts count="3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24"/>
      <name val="新細明體"/>
      <family val="1"/>
      <charset val="136"/>
    </font>
    <font>
      <sz val="16"/>
      <name val="標楷體"/>
      <family val="4"/>
      <charset val="136"/>
    </font>
    <font>
      <sz val="16"/>
      <name val="新細明體"/>
      <family val="1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8"/>
      <name val="新細明體"/>
      <family val="1"/>
      <charset val="136"/>
    </font>
    <font>
      <sz val="14"/>
      <name val="新細明體"/>
      <family val="1"/>
      <charset val="136"/>
    </font>
    <font>
      <sz val="12"/>
      <name val="Times New Roman"/>
      <family val="1"/>
    </font>
    <font>
      <sz val="18"/>
      <name val="新細明體"/>
      <family val="1"/>
      <charset val="136"/>
    </font>
    <font>
      <sz val="18"/>
      <name val="Times New Roman"/>
      <family val="1"/>
    </font>
    <font>
      <b/>
      <sz val="16"/>
      <name val="細明體"/>
      <family val="3"/>
      <charset val="136"/>
    </font>
    <font>
      <b/>
      <sz val="16"/>
      <name val="新細明體"/>
      <family val="1"/>
      <charset val="136"/>
    </font>
    <font>
      <b/>
      <sz val="16"/>
      <name val="Times New Roman"/>
      <family val="1"/>
    </font>
    <font>
      <sz val="12"/>
      <name val="標楷體"/>
      <family val="4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theme="1"/>
      <name val="新細明體"/>
      <family val="2"/>
      <scheme val="minor"/>
    </font>
    <font>
      <b/>
      <sz val="20"/>
      <name val="新細明體"/>
      <family val="1"/>
      <charset val="136"/>
    </font>
    <font>
      <sz val="10"/>
      <name val="新細明體"/>
      <family val="1"/>
      <charset val="136"/>
    </font>
    <font>
      <sz val="18"/>
      <name val="Times New Roman"/>
      <family val="1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</cellStyleXfs>
  <cellXfs count="141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3"/>
    <xf numFmtId="0" fontId="5" fillId="0" borderId="3" xfId="3" applyBorder="1"/>
    <xf numFmtId="0" fontId="7" fillId="0" borderId="0" xfId="3" applyFont="1"/>
    <xf numFmtId="0" fontId="9" fillId="0" borderId="0" xfId="3" applyFont="1"/>
    <xf numFmtId="0" fontId="8" fillId="0" borderId="0" xfId="3" applyFont="1"/>
    <xf numFmtId="10" fontId="8" fillId="0" borderId="0" xfId="4" applyNumberFormat="1" applyFont="1" applyBorder="1" applyAlignment="1">
      <alignment horizontal="centerContinuous"/>
    </xf>
    <xf numFmtId="0" fontId="8" fillId="0" borderId="0" xfId="3" applyFont="1" applyAlignment="1">
      <alignment vertical="top"/>
    </xf>
    <xf numFmtId="0" fontId="8" fillId="0" borderId="0" xfId="3" applyFont="1" applyAlignment="1">
      <alignment horizontal="centerContinuous"/>
    </xf>
    <xf numFmtId="0" fontId="10" fillId="0" borderId="0" xfId="3" applyFont="1" applyAlignment="1">
      <alignment horizontal="right"/>
    </xf>
    <xf numFmtId="49" fontId="13" fillId="0" borderId="11" xfId="3" applyNumberFormat="1" applyFont="1" applyBorder="1" applyAlignment="1">
      <alignment horizontal="center" vertical="center" wrapText="1"/>
    </xf>
    <xf numFmtId="49" fontId="13" fillId="0" borderId="12" xfId="3" applyNumberFormat="1" applyFont="1" applyBorder="1" applyAlignment="1">
      <alignment horizontal="center" vertical="center" wrapText="1"/>
    </xf>
    <xf numFmtId="49" fontId="13" fillId="0" borderId="13" xfId="3" applyNumberFormat="1" applyFont="1" applyBorder="1" applyAlignment="1">
      <alignment horizontal="center" vertical="center" wrapText="1"/>
    </xf>
    <xf numFmtId="0" fontId="15" fillId="0" borderId="0" xfId="3" applyFont="1"/>
    <xf numFmtId="0" fontId="16" fillId="0" borderId="10" xfId="3" applyFont="1" applyBorder="1" applyAlignment="1">
      <alignment horizontal="center" vertical="center"/>
    </xf>
    <xf numFmtId="176" fontId="16" fillId="0" borderId="21" xfId="5" applyNumberFormat="1" applyFont="1" applyBorder="1" applyAlignment="1">
      <alignment horizontal="right" wrapText="1"/>
    </xf>
    <xf numFmtId="176" fontId="16" fillId="0" borderId="22" xfId="5" applyNumberFormat="1" applyFont="1" applyBorder="1" applyAlignment="1">
      <alignment horizontal="right" wrapText="1"/>
    </xf>
    <xf numFmtId="176" fontId="16" fillId="0" borderId="15" xfId="5" applyNumberFormat="1" applyFont="1" applyBorder="1" applyAlignment="1">
      <alignment horizontal="right" wrapText="1"/>
    </xf>
    <xf numFmtId="176" fontId="16" fillId="0" borderId="14" xfId="5" applyNumberFormat="1" applyFont="1" applyBorder="1" applyAlignment="1">
      <alignment horizontal="right" wrapText="1"/>
    </xf>
    <xf numFmtId="0" fontId="16" fillId="0" borderId="23" xfId="3" applyFont="1" applyBorder="1" applyAlignment="1">
      <alignment horizontal="center" vertical="center"/>
    </xf>
    <xf numFmtId="176" fontId="16" fillId="0" borderId="24" xfId="5" applyNumberFormat="1" applyFont="1" applyBorder="1" applyAlignment="1">
      <alignment horizontal="right" wrapText="1"/>
    </xf>
    <xf numFmtId="176" fontId="16" fillId="0" borderId="25" xfId="5" applyNumberFormat="1" applyFont="1" applyBorder="1" applyAlignment="1">
      <alignment horizontal="right" wrapText="1"/>
    </xf>
    <xf numFmtId="0" fontId="5" fillId="0" borderId="26" xfId="3" applyBorder="1"/>
    <xf numFmtId="0" fontId="5" fillId="0" borderId="27" xfId="3" applyBorder="1"/>
    <xf numFmtId="0" fontId="5" fillId="0" borderId="28" xfId="3" applyBorder="1"/>
    <xf numFmtId="0" fontId="17" fillId="0" borderId="2" xfId="3" applyFont="1" applyBorder="1"/>
    <xf numFmtId="0" fontId="5" fillId="0" borderId="29" xfId="3" applyBorder="1"/>
    <xf numFmtId="0" fontId="18" fillId="0" borderId="0" xfId="3" applyFont="1"/>
    <xf numFmtId="0" fontId="5" fillId="0" borderId="26" xfId="3" applyBorder="1" applyAlignment="1">
      <alignment horizontal="right" vertical="center"/>
    </xf>
    <xf numFmtId="0" fontId="20" fillId="0" borderId="27" xfId="3" applyFont="1" applyBorder="1"/>
    <xf numFmtId="0" fontId="21" fillId="0" borderId="27" xfId="3" applyFont="1" applyBorder="1"/>
    <xf numFmtId="0" fontId="5" fillId="0" borderId="27" xfId="3" applyBorder="1" applyAlignment="1">
      <alignment horizontal="right" vertical="center"/>
    </xf>
    <xf numFmtId="0" fontId="5" fillId="0" borderId="28" xfId="3" applyBorder="1" applyAlignment="1">
      <alignment horizontal="right" vertical="center"/>
    </xf>
    <xf numFmtId="0" fontId="5" fillId="0" borderId="0" xfId="3" applyAlignment="1">
      <alignment horizontal="right" vertical="center"/>
    </xf>
    <xf numFmtId="0" fontId="5" fillId="0" borderId="2" xfId="3" applyBorder="1" applyAlignment="1">
      <alignment horizontal="right"/>
    </xf>
    <xf numFmtId="0" fontId="5" fillId="0" borderId="0" xfId="3" applyAlignment="1">
      <alignment horizontal="right"/>
    </xf>
    <xf numFmtId="176" fontId="5" fillId="0" borderId="0" xfId="5" applyNumberFormat="1" applyFont="1" applyBorder="1" applyAlignment="1">
      <alignment horizontal="right"/>
    </xf>
    <xf numFmtId="0" fontId="5" fillId="0" borderId="3" xfId="3" applyBorder="1" applyAlignment="1">
      <alignment horizontal="right"/>
    </xf>
    <xf numFmtId="0" fontId="21" fillId="0" borderId="0" xfId="3" applyFont="1" applyAlignment="1">
      <alignment horizontal="left"/>
    </xf>
    <xf numFmtId="0" fontId="5" fillId="0" borderId="0" xfId="3" applyAlignment="1">
      <alignment horizontal="center"/>
    </xf>
    <xf numFmtId="0" fontId="5" fillId="0" borderId="2" xfId="3" applyBorder="1" applyAlignment="1">
      <alignment horizontal="right" vertical="center"/>
    </xf>
    <xf numFmtId="3" fontId="5" fillId="0" borderId="0" xfId="3" applyNumberFormat="1" applyAlignment="1">
      <alignment horizontal="right" vertical="center"/>
    </xf>
    <xf numFmtId="0" fontId="5" fillId="0" borderId="3" xfId="3" applyBorder="1" applyAlignment="1">
      <alignment horizontal="right" vertical="center"/>
    </xf>
    <xf numFmtId="0" fontId="5" fillId="0" borderId="2" xfId="3" applyBorder="1"/>
    <xf numFmtId="0" fontId="21" fillId="0" borderId="0" xfId="3" applyFont="1"/>
    <xf numFmtId="0" fontId="22" fillId="0" borderId="0" xfId="3" applyFont="1"/>
    <xf numFmtId="176" fontId="5" fillId="0" borderId="0" xfId="5" applyNumberFormat="1" applyFont="1" applyBorder="1"/>
    <xf numFmtId="176" fontId="5" fillId="0" borderId="30" xfId="5" applyNumberFormat="1" applyFont="1" applyBorder="1"/>
    <xf numFmtId="0" fontId="23" fillId="0" borderId="0" xfId="3" applyFont="1" applyAlignment="1">
      <alignment horizontal="right" wrapText="1"/>
    </xf>
    <xf numFmtId="3" fontId="23" fillId="0" borderId="0" xfId="3" applyNumberFormat="1" applyFont="1" applyAlignment="1">
      <alignment horizontal="right" wrapText="1"/>
    </xf>
    <xf numFmtId="3" fontId="23" fillId="0" borderId="2" xfId="3" applyNumberFormat="1" applyFont="1" applyBorder="1" applyAlignment="1">
      <alignment horizontal="right" wrapText="1"/>
    </xf>
    <xf numFmtId="0" fontId="23" fillId="0" borderId="2" xfId="3" applyFont="1" applyBorder="1" applyAlignment="1">
      <alignment horizontal="right" wrapText="1"/>
    </xf>
    <xf numFmtId="0" fontId="5" fillId="0" borderId="0" xfId="3" applyAlignment="1">
      <alignment horizontal="right" wrapText="1"/>
    </xf>
    <xf numFmtId="0" fontId="5" fillId="0" borderId="2" xfId="3" applyBorder="1" applyAlignment="1">
      <alignment horizontal="right" wrapText="1"/>
    </xf>
    <xf numFmtId="43" fontId="5" fillId="0" borderId="0" xfId="5" applyFont="1" applyBorder="1" applyAlignment="1">
      <alignment horizontal="center"/>
    </xf>
    <xf numFmtId="0" fontId="5" fillId="0" borderId="31" xfId="3" applyBorder="1"/>
    <xf numFmtId="0" fontId="5" fillId="0" borderId="29" xfId="3" applyBorder="1" applyAlignment="1">
      <alignment horizontal="right" wrapText="1"/>
    </xf>
    <xf numFmtId="0" fontId="5" fillId="0" borderId="31" xfId="3" applyBorder="1" applyAlignment="1">
      <alignment horizontal="right" wrapText="1"/>
    </xf>
    <xf numFmtId="176" fontId="5" fillId="0" borderId="0" xfId="5" quotePrefix="1" applyNumberFormat="1" applyFont="1" applyBorder="1" applyAlignment="1">
      <alignment horizontal="right"/>
    </xf>
    <xf numFmtId="176" fontId="5" fillId="0" borderId="0" xfId="5" quotePrefix="1" applyNumberFormat="1" applyFont="1" applyBorder="1" applyAlignment="1">
      <alignment horizontal="right" vertical="center"/>
    </xf>
    <xf numFmtId="176" fontId="16" fillId="0" borderId="18" xfId="5" applyNumberFormat="1" applyFont="1" applyBorder="1" applyAlignment="1">
      <alignment horizontal="right" wrapText="1"/>
    </xf>
    <xf numFmtId="176" fontId="16" fillId="0" borderId="17" xfId="5" applyNumberFormat="1" applyFont="1" applyBorder="1" applyAlignment="1">
      <alignment horizontal="right" wrapText="1"/>
    </xf>
    <xf numFmtId="9" fontId="16" fillId="0" borderId="17" xfId="6" applyFont="1" applyBorder="1" applyAlignment="1">
      <alignment horizontal="right" wrapText="1"/>
    </xf>
    <xf numFmtId="176" fontId="16" fillId="0" borderId="20" xfId="5" applyNumberFormat="1" applyFont="1" applyBorder="1" applyAlignment="1">
      <alignment horizontal="right" wrapText="1"/>
    </xf>
    <xf numFmtId="0" fontId="16" fillId="0" borderId="34" xfId="3" applyFont="1" applyBorder="1" applyAlignment="1">
      <alignment horizontal="center" wrapText="1"/>
    </xf>
    <xf numFmtId="176" fontId="16" fillId="0" borderId="35" xfId="5" applyNumberFormat="1" applyFont="1" applyBorder="1" applyAlignment="1">
      <alignment horizontal="right" wrapText="1"/>
    </xf>
    <xf numFmtId="176" fontId="16" fillId="0" borderId="19" xfId="5" applyNumberFormat="1" applyFont="1" applyBorder="1" applyAlignment="1">
      <alignment horizontal="right" wrapText="1"/>
    </xf>
    <xf numFmtId="9" fontId="16" fillId="0" borderId="21" xfId="4" applyFont="1" applyFill="1" applyBorder="1" applyAlignment="1">
      <alignment horizontal="right" wrapText="1"/>
    </xf>
    <xf numFmtId="0" fontId="28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9" fillId="0" borderId="36" xfId="0" applyFont="1" applyBorder="1" applyAlignment="1" applyProtection="1">
      <alignment horizontal="center" vertical="center" wrapText="1"/>
      <protection hidden="1"/>
    </xf>
    <xf numFmtId="177" fontId="29" fillId="0" borderId="37" xfId="0" applyNumberFormat="1" applyFont="1" applyBorder="1" applyAlignment="1" applyProtection="1">
      <alignment horizontal="center" vertical="center"/>
      <protection hidden="1"/>
    </xf>
    <xf numFmtId="0" fontId="29" fillId="0" borderId="38" xfId="0" applyFont="1" applyBorder="1" applyAlignment="1" applyProtection="1">
      <alignment horizontal="center" vertical="center"/>
      <protection hidden="1"/>
    </xf>
    <xf numFmtId="0" fontId="29" fillId="0" borderId="39" xfId="0" applyFont="1" applyBorder="1" applyAlignment="1" applyProtection="1">
      <alignment horizontal="center" vertical="center" wrapText="1"/>
      <protection hidden="1"/>
    </xf>
    <xf numFmtId="0" fontId="5" fillId="0" borderId="10" xfId="3" applyBorder="1" applyAlignment="1">
      <alignment horizontal="center" vertical="center"/>
    </xf>
    <xf numFmtId="178" fontId="29" fillId="0" borderId="1" xfId="0" applyNumberFormat="1" applyFont="1" applyBorder="1" applyAlignment="1" applyProtection="1">
      <alignment vertical="center"/>
      <protection hidden="1"/>
    </xf>
    <xf numFmtId="178" fontId="29" fillId="0" borderId="40" xfId="0" applyNumberFormat="1" applyFont="1" applyBorder="1" applyAlignment="1" applyProtection="1">
      <alignment vertical="center"/>
      <protection hidden="1"/>
    </xf>
    <xf numFmtId="0" fontId="5" fillId="0" borderId="23" xfId="3" applyBorder="1" applyAlignment="1">
      <alignment horizontal="center" vertical="center"/>
    </xf>
    <xf numFmtId="179" fontId="29" fillId="0" borderId="41" xfId="0" applyNumberFormat="1" applyFont="1" applyBorder="1" applyAlignment="1" applyProtection="1">
      <alignment horizontal="center" vertical="center"/>
      <protection hidden="1"/>
    </xf>
    <xf numFmtId="178" fontId="29" fillId="0" borderId="42" xfId="0" applyNumberFormat="1" applyFont="1" applyBorder="1" applyAlignment="1" applyProtection="1">
      <alignment vertical="center"/>
      <protection hidden="1"/>
    </xf>
    <xf numFmtId="178" fontId="29" fillId="0" borderId="43" xfId="0" applyNumberFormat="1" applyFont="1" applyBorder="1" applyAlignment="1" applyProtection="1">
      <alignment vertical="center"/>
      <protection hidden="1"/>
    </xf>
    <xf numFmtId="180" fontId="0" fillId="0" borderId="0" xfId="0" applyNumberFormat="1" applyAlignment="1">
      <alignment vertical="center"/>
    </xf>
    <xf numFmtId="180" fontId="27" fillId="0" borderId="0" xfId="7" applyNumberFormat="1">
      <alignment vertical="center"/>
    </xf>
    <xf numFmtId="180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vertical="center"/>
    </xf>
    <xf numFmtId="180" fontId="9" fillId="0" borderId="0" xfId="0" applyNumberFormat="1" applyFont="1" applyAlignment="1">
      <alignment vertical="center"/>
    </xf>
    <xf numFmtId="180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0" fillId="0" borderId="3" xfId="3" applyFont="1" applyBorder="1" applyAlignment="1">
      <alignment horizontal="right"/>
    </xf>
    <xf numFmtId="180" fontId="10" fillId="0" borderId="0" xfId="0" applyNumberFormat="1" applyFont="1" applyAlignment="1">
      <alignment horizontal="left" vertical="center"/>
    </xf>
    <xf numFmtId="0" fontId="31" fillId="0" borderId="1" xfId="0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13" fillId="3" borderId="16" xfId="3" applyFont="1" applyFill="1" applyBorder="1" applyAlignment="1">
      <alignment horizontal="center" vertical="center" wrapText="1"/>
    </xf>
    <xf numFmtId="0" fontId="13" fillId="3" borderId="17" xfId="3" applyFont="1" applyFill="1" applyBorder="1" applyAlignment="1">
      <alignment horizontal="center" vertical="center" wrapText="1"/>
    </xf>
    <xf numFmtId="0" fontId="13" fillId="3" borderId="18" xfId="3" applyFont="1" applyFill="1" applyBorder="1" applyAlignment="1">
      <alignment horizontal="center" vertical="center" wrapText="1"/>
    </xf>
    <xf numFmtId="49" fontId="14" fillId="3" borderId="19" xfId="3" applyNumberFormat="1" applyFont="1" applyFill="1" applyBorder="1" applyAlignment="1">
      <alignment horizontal="center" vertical="center" wrapText="1"/>
    </xf>
    <xf numFmtId="49" fontId="13" fillId="3" borderId="17" xfId="3" applyNumberFormat="1" applyFont="1" applyFill="1" applyBorder="1" applyAlignment="1">
      <alignment horizontal="center" vertical="center" wrapText="1"/>
    </xf>
    <xf numFmtId="49" fontId="14" fillId="3" borderId="18" xfId="3" applyNumberFormat="1" applyFont="1" applyFill="1" applyBorder="1" applyAlignment="1">
      <alignment horizontal="center" vertical="center" wrapText="1"/>
    </xf>
    <xf numFmtId="0" fontId="13" fillId="3" borderId="20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181" fontId="16" fillId="0" borderId="21" xfId="4" applyNumberFormat="1" applyFont="1" applyFill="1" applyBorder="1" applyAlignment="1">
      <alignment horizontal="right" wrapText="1"/>
    </xf>
    <xf numFmtId="180" fontId="8" fillId="0" borderId="0" xfId="0" applyNumberFormat="1" applyFont="1" applyAlignment="1">
      <alignment horizontal="center" vertical="center"/>
    </xf>
    <xf numFmtId="0" fontId="6" fillId="0" borderId="0" xfId="3" applyFont="1" applyAlignment="1">
      <alignment horizontal="center"/>
    </xf>
    <xf numFmtId="0" fontId="5" fillId="0" borderId="0" xfId="3"/>
    <xf numFmtId="0" fontId="8" fillId="0" borderId="0" xfId="3" applyFont="1" applyAlignment="1">
      <alignment horizontal="center"/>
    </xf>
    <xf numFmtId="49" fontId="11" fillId="0" borderId="4" xfId="3" applyNumberFormat="1" applyFont="1" applyBorder="1" applyAlignment="1">
      <alignment horizontal="center" vertical="center" wrapText="1"/>
    </xf>
    <xf numFmtId="0" fontId="11" fillId="0" borderId="10" xfId="3" applyFont="1" applyBorder="1" applyAlignment="1">
      <alignment horizontal="center" vertical="center" wrapText="1"/>
    </xf>
    <xf numFmtId="49" fontId="11" fillId="0" borderId="5" xfId="3" applyNumberFormat="1" applyFont="1" applyBorder="1" applyAlignment="1">
      <alignment horizontal="center" vertical="center" wrapText="1"/>
    </xf>
    <xf numFmtId="49" fontId="11" fillId="0" borderId="6" xfId="3" applyNumberFormat="1" applyFont="1" applyBorder="1" applyAlignment="1">
      <alignment horizontal="center" vertical="center" wrapText="1"/>
    </xf>
    <xf numFmtId="49" fontId="11" fillId="0" borderId="7" xfId="3" applyNumberFormat="1" applyFont="1" applyBorder="1" applyAlignment="1">
      <alignment horizontal="center" vertical="center" wrapText="1"/>
    </xf>
    <xf numFmtId="49" fontId="11" fillId="0" borderId="8" xfId="3" applyNumberFormat="1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49" fontId="11" fillId="0" borderId="9" xfId="3" applyNumberFormat="1" applyFont="1" applyBorder="1" applyAlignment="1">
      <alignment horizontal="center" vertical="center" wrapText="1"/>
    </xf>
    <xf numFmtId="0" fontId="11" fillId="0" borderId="15" xfId="3" applyFont="1" applyBorder="1" applyAlignment="1">
      <alignment horizontal="center" vertical="center" wrapText="1"/>
    </xf>
    <xf numFmtId="0" fontId="6" fillId="0" borderId="2" xfId="3" applyFont="1" applyBorder="1" applyAlignment="1">
      <alignment horizontal="center"/>
    </xf>
    <xf numFmtId="0" fontId="5" fillId="0" borderId="3" xfId="3" applyBorder="1"/>
    <xf numFmtId="0" fontId="8" fillId="0" borderId="2" xfId="3" applyFont="1" applyBorder="1" applyAlignment="1">
      <alignment horizontal="center"/>
    </xf>
    <xf numFmtId="0" fontId="16" fillId="0" borderId="32" xfId="3" applyFont="1" applyBorder="1" applyAlignment="1">
      <alignment horizontal="center" vertical="top"/>
    </xf>
    <xf numFmtId="0" fontId="16" fillId="0" borderId="33" xfId="3" applyFont="1" applyBorder="1" applyAlignment="1">
      <alignment horizontal="center"/>
    </xf>
    <xf numFmtId="0" fontId="28" fillId="0" borderId="0" xfId="0" applyFont="1" applyAlignment="1" applyProtection="1">
      <alignment horizontal="center" vertical="center"/>
      <protection hidden="1"/>
    </xf>
    <xf numFmtId="0" fontId="0" fillId="0" borderId="29" xfId="0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</cellXfs>
  <cellStyles count="8">
    <cellStyle name="一般" xfId="0" builtinId="0"/>
    <cellStyle name="一般 2" xfId="1" xr:uid="{00000000-0005-0000-0000-000001000000}"/>
    <cellStyle name="一般 3" xfId="3" xr:uid="{00000000-0005-0000-0000-000002000000}"/>
    <cellStyle name="千分位 2" xfId="5" xr:uid="{00000000-0005-0000-0000-000003000000}"/>
    <cellStyle name="千分位[0]" xfId="7" builtinId="6"/>
    <cellStyle name="百分比" xfId="6" builtinId="5"/>
    <cellStyle name="百分比 2" xfId="2" xr:uid="{00000000-0005-0000-0000-000006000000}"/>
    <cellStyle name="百分比 3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"/>
  <sheetViews>
    <sheetView tabSelected="1" topLeftCell="A3" zoomScale="70" zoomScaleNormal="70" zoomScaleSheetLayoutView="75" workbookViewId="0">
      <selection activeCell="D11" sqref="D11"/>
    </sheetView>
  </sheetViews>
  <sheetFormatPr defaultColWidth="10.140625" defaultRowHeight="24" customHeight="1" x14ac:dyDescent="0.25"/>
  <cols>
    <col min="1" max="1" width="12" style="3" customWidth="1"/>
    <col min="2" max="2" width="5.42578125" style="3" customWidth="1"/>
    <col min="3" max="3" width="17.5703125" style="3" customWidth="1"/>
    <col min="4" max="4" width="16.42578125" style="3" customWidth="1"/>
    <col min="5" max="5" width="20.7109375" style="3" customWidth="1"/>
    <col min="6" max="6" width="12" style="3" customWidth="1"/>
    <col min="7" max="7" width="5.42578125" style="3" customWidth="1"/>
    <col min="8" max="8" width="17.5703125" style="3" customWidth="1"/>
    <col min="9" max="9" width="16.42578125" style="3" customWidth="1"/>
    <col min="10" max="10" width="21.85546875" style="3" customWidth="1"/>
    <col min="11" max="256" width="10.140625" style="3"/>
    <col min="257" max="257" width="12" style="3" customWidth="1"/>
    <col min="258" max="258" width="5.42578125" style="3" customWidth="1"/>
    <col min="259" max="259" width="17.5703125" style="3" customWidth="1"/>
    <col min="260" max="260" width="16.42578125" style="3" customWidth="1"/>
    <col min="261" max="261" width="20.7109375" style="3" customWidth="1"/>
    <col min="262" max="262" width="12" style="3" customWidth="1"/>
    <col min="263" max="263" width="5.42578125" style="3" customWidth="1"/>
    <col min="264" max="264" width="17.5703125" style="3" customWidth="1"/>
    <col min="265" max="265" width="16.42578125" style="3" customWidth="1"/>
    <col min="266" max="266" width="21.85546875" style="3" customWidth="1"/>
    <col min="267" max="512" width="10.140625" style="3"/>
    <col min="513" max="513" width="12" style="3" customWidth="1"/>
    <col min="514" max="514" width="5.42578125" style="3" customWidth="1"/>
    <col min="515" max="515" width="17.5703125" style="3" customWidth="1"/>
    <col min="516" max="516" width="16.42578125" style="3" customWidth="1"/>
    <col min="517" max="517" width="20.7109375" style="3" customWidth="1"/>
    <col min="518" max="518" width="12" style="3" customWidth="1"/>
    <col min="519" max="519" width="5.42578125" style="3" customWidth="1"/>
    <col min="520" max="520" width="17.5703125" style="3" customWidth="1"/>
    <col min="521" max="521" width="16.42578125" style="3" customWidth="1"/>
    <col min="522" max="522" width="21.85546875" style="3" customWidth="1"/>
    <col min="523" max="768" width="10.140625" style="3"/>
    <col min="769" max="769" width="12" style="3" customWidth="1"/>
    <col min="770" max="770" width="5.42578125" style="3" customWidth="1"/>
    <col min="771" max="771" width="17.5703125" style="3" customWidth="1"/>
    <col min="772" max="772" width="16.42578125" style="3" customWidth="1"/>
    <col min="773" max="773" width="20.7109375" style="3" customWidth="1"/>
    <col min="774" max="774" width="12" style="3" customWidth="1"/>
    <col min="775" max="775" width="5.42578125" style="3" customWidth="1"/>
    <col min="776" max="776" width="17.5703125" style="3" customWidth="1"/>
    <col min="777" max="777" width="16.42578125" style="3" customWidth="1"/>
    <col min="778" max="778" width="21.85546875" style="3" customWidth="1"/>
    <col min="779" max="1024" width="10.140625" style="3"/>
    <col min="1025" max="1025" width="12" style="3" customWidth="1"/>
    <col min="1026" max="1026" width="5.42578125" style="3" customWidth="1"/>
    <col min="1027" max="1027" width="17.5703125" style="3" customWidth="1"/>
    <col min="1028" max="1028" width="16.42578125" style="3" customWidth="1"/>
    <col min="1029" max="1029" width="20.7109375" style="3" customWidth="1"/>
    <col min="1030" max="1030" width="12" style="3" customWidth="1"/>
    <col min="1031" max="1031" width="5.42578125" style="3" customWidth="1"/>
    <col min="1032" max="1032" width="17.5703125" style="3" customWidth="1"/>
    <col min="1033" max="1033" width="16.42578125" style="3" customWidth="1"/>
    <col min="1034" max="1034" width="21.85546875" style="3" customWidth="1"/>
    <col min="1035" max="1280" width="10.140625" style="3"/>
    <col min="1281" max="1281" width="12" style="3" customWidth="1"/>
    <col min="1282" max="1282" width="5.42578125" style="3" customWidth="1"/>
    <col min="1283" max="1283" width="17.5703125" style="3" customWidth="1"/>
    <col min="1284" max="1284" width="16.42578125" style="3" customWidth="1"/>
    <col min="1285" max="1285" width="20.7109375" style="3" customWidth="1"/>
    <col min="1286" max="1286" width="12" style="3" customWidth="1"/>
    <col min="1287" max="1287" width="5.42578125" style="3" customWidth="1"/>
    <col min="1288" max="1288" width="17.5703125" style="3" customWidth="1"/>
    <col min="1289" max="1289" width="16.42578125" style="3" customWidth="1"/>
    <col min="1290" max="1290" width="21.85546875" style="3" customWidth="1"/>
    <col min="1291" max="1536" width="10.140625" style="3"/>
    <col min="1537" max="1537" width="12" style="3" customWidth="1"/>
    <col min="1538" max="1538" width="5.42578125" style="3" customWidth="1"/>
    <col min="1539" max="1539" width="17.5703125" style="3" customWidth="1"/>
    <col min="1540" max="1540" width="16.42578125" style="3" customWidth="1"/>
    <col min="1541" max="1541" width="20.7109375" style="3" customWidth="1"/>
    <col min="1542" max="1542" width="12" style="3" customWidth="1"/>
    <col min="1543" max="1543" width="5.42578125" style="3" customWidth="1"/>
    <col min="1544" max="1544" width="17.5703125" style="3" customWidth="1"/>
    <col min="1545" max="1545" width="16.42578125" style="3" customWidth="1"/>
    <col min="1546" max="1546" width="21.85546875" style="3" customWidth="1"/>
    <col min="1547" max="1792" width="10.140625" style="3"/>
    <col min="1793" max="1793" width="12" style="3" customWidth="1"/>
    <col min="1794" max="1794" width="5.42578125" style="3" customWidth="1"/>
    <col min="1795" max="1795" width="17.5703125" style="3" customWidth="1"/>
    <col min="1796" max="1796" width="16.42578125" style="3" customWidth="1"/>
    <col min="1797" max="1797" width="20.7109375" style="3" customWidth="1"/>
    <col min="1798" max="1798" width="12" style="3" customWidth="1"/>
    <col min="1799" max="1799" width="5.42578125" style="3" customWidth="1"/>
    <col min="1800" max="1800" width="17.5703125" style="3" customWidth="1"/>
    <col min="1801" max="1801" width="16.42578125" style="3" customWidth="1"/>
    <col min="1802" max="1802" width="21.85546875" style="3" customWidth="1"/>
    <col min="1803" max="2048" width="10.140625" style="3"/>
    <col min="2049" max="2049" width="12" style="3" customWidth="1"/>
    <col min="2050" max="2050" width="5.42578125" style="3" customWidth="1"/>
    <col min="2051" max="2051" width="17.5703125" style="3" customWidth="1"/>
    <col min="2052" max="2052" width="16.42578125" style="3" customWidth="1"/>
    <col min="2053" max="2053" width="20.7109375" style="3" customWidth="1"/>
    <col min="2054" max="2054" width="12" style="3" customWidth="1"/>
    <col min="2055" max="2055" width="5.42578125" style="3" customWidth="1"/>
    <col min="2056" max="2056" width="17.5703125" style="3" customWidth="1"/>
    <col min="2057" max="2057" width="16.42578125" style="3" customWidth="1"/>
    <col min="2058" max="2058" width="21.85546875" style="3" customWidth="1"/>
    <col min="2059" max="2304" width="10.140625" style="3"/>
    <col min="2305" max="2305" width="12" style="3" customWidth="1"/>
    <col min="2306" max="2306" width="5.42578125" style="3" customWidth="1"/>
    <col min="2307" max="2307" width="17.5703125" style="3" customWidth="1"/>
    <col min="2308" max="2308" width="16.42578125" style="3" customWidth="1"/>
    <col min="2309" max="2309" width="20.7109375" style="3" customWidth="1"/>
    <col min="2310" max="2310" width="12" style="3" customWidth="1"/>
    <col min="2311" max="2311" width="5.42578125" style="3" customWidth="1"/>
    <col min="2312" max="2312" width="17.5703125" style="3" customWidth="1"/>
    <col min="2313" max="2313" width="16.42578125" style="3" customWidth="1"/>
    <col min="2314" max="2314" width="21.85546875" style="3" customWidth="1"/>
    <col min="2315" max="2560" width="10.140625" style="3"/>
    <col min="2561" max="2561" width="12" style="3" customWidth="1"/>
    <col min="2562" max="2562" width="5.42578125" style="3" customWidth="1"/>
    <col min="2563" max="2563" width="17.5703125" style="3" customWidth="1"/>
    <col min="2564" max="2564" width="16.42578125" style="3" customWidth="1"/>
    <col min="2565" max="2565" width="20.7109375" style="3" customWidth="1"/>
    <col min="2566" max="2566" width="12" style="3" customWidth="1"/>
    <col min="2567" max="2567" width="5.42578125" style="3" customWidth="1"/>
    <col min="2568" max="2568" width="17.5703125" style="3" customWidth="1"/>
    <col min="2569" max="2569" width="16.42578125" style="3" customWidth="1"/>
    <col min="2570" max="2570" width="21.85546875" style="3" customWidth="1"/>
    <col min="2571" max="2816" width="10.140625" style="3"/>
    <col min="2817" max="2817" width="12" style="3" customWidth="1"/>
    <col min="2818" max="2818" width="5.42578125" style="3" customWidth="1"/>
    <col min="2819" max="2819" width="17.5703125" style="3" customWidth="1"/>
    <col min="2820" max="2820" width="16.42578125" style="3" customWidth="1"/>
    <col min="2821" max="2821" width="20.7109375" style="3" customWidth="1"/>
    <col min="2822" max="2822" width="12" style="3" customWidth="1"/>
    <col min="2823" max="2823" width="5.42578125" style="3" customWidth="1"/>
    <col min="2824" max="2824" width="17.5703125" style="3" customWidth="1"/>
    <col min="2825" max="2825" width="16.42578125" style="3" customWidth="1"/>
    <col min="2826" max="2826" width="21.85546875" style="3" customWidth="1"/>
    <col min="2827" max="3072" width="10.140625" style="3"/>
    <col min="3073" max="3073" width="12" style="3" customWidth="1"/>
    <col min="3074" max="3074" width="5.42578125" style="3" customWidth="1"/>
    <col min="3075" max="3075" width="17.5703125" style="3" customWidth="1"/>
    <col min="3076" max="3076" width="16.42578125" style="3" customWidth="1"/>
    <col min="3077" max="3077" width="20.7109375" style="3" customWidth="1"/>
    <col min="3078" max="3078" width="12" style="3" customWidth="1"/>
    <col min="3079" max="3079" width="5.42578125" style="3" customWidth="1"/>
    <col min="3080" max="3080" width="17.5703125" style="3" customWidth="1"/>
    <col min="3081" max="3081" width="16.42578125" style="3" customWidth="1"/>
    <col min="3082" max="3082" width="21.85546875" style="3" customWidth="1"/>
    <col min="3083" max="3328" width="10.140625" style="3"/>
    <col min="3329" max="3329" width="12" style="3" customWidth="1"/>
    <col min="3330" max="3330" width="5.42578125" style="3" customWidth="1"/>
    <col min="3331" max="3331" width="17.5703125" style="3" customWidth="1"/>
    <col min="3332" max="3332" width="16.42578125" style="3" customWidth="1"/>
    <col min="3333" max="3333" width="20.7109375" style="3" customWidth="1"/>
    <col min="3334" max="3334" width="12" style="3" customWidth="1"/>
    <col min="3335" max="3335" width="5.42578125" style="3" customWidth="1"/>
    <col min="3336" max="3336" width="17.5703125" style="3" customWidth="1"/>
    <col min="3337" max="3337" width="16.42578125" style="3" customWidth="1"/>
    <col min="3338" max="3338" width="21.85546875" style="3" customWidth="1"/>
    <col min="3339" max="3584" width="10.140625" style="3"/>
    <col min="3585" max="3585" width="12" style="3" customWidth="1"/>
    <col min="3586" max="3586" width="5.42578125" style="3" customWidth="1"/>
    <col min="3587" max="3587" width="17.5703125" style="3" customWidth="1"/>
    <col min="3588" max="3588" width="16.42578125" style="3" customWidth="1"/>
    <col min="3589" max="3589" width="20.7109375" style="3" customWidth="1"/>
    <col min="3590" max="3590" width="12" style="3" customWidth="1"/>
    <col min="3591" max="3591" width="5.42578125" style="3" customWidth="1"/>
    <col min="3592" max="3592" width="17.5703125" style="3" customWidth="1"/>
    <col min="3593" max="3593" width="16.42578125" style="3" customWidth="1"/>
    <col min="3594" max="3594" width="21.85546875" style="3" customWidth="1"/>
    <col min="3595" max="3840" width="10.140625" style="3"/>
    <col min="3841" max="3841" width="12" style="3" customWidth="1"/>
    <col min="3842" max="3842" width="5.42578125" style="3" customWidth="1"/>
    <col min="3843" max="3843" width="17.5703125" style="3" customWidth="1"/>
    <col min="3844" max="3844" width="16.42578125" style="3" customWidth="1"/>
    <col min="3845" max="3845" width="20.7109375" style="3" customWidth="1"/>
    <col min="3846" max="3846" width="12" style="3" customWidth="1"/>
    <col min="3847" max="3847" width="5.42578125" style="3" customWidth="1"/>
    <col min="3848" max="3848" width="17.5703125" style="3" customWidth="1"/>
    <col min="3849" max="3849" width="16.42578125" style="3" customWidth="1"/>
    <col min="3850" max="3850" width="21.85546875" style="3" customWidth="1"/>
    <col min="3851" max="4096" width="10.140625" style="3"/>
    <col min="4097" max="4097" width="12" style="3" customWidth="1"/>
    <col min="4098" max="4098" width="5.42578125" style="3" customWidth="1"/>
    <col min="4099" max="4099" width="17.5703125" style="3" customWidth="1"/>
    <col min="4100" max="4100" width="16.42578125" style="3" customWidth="1"/>
    <col min="4101" max="4101" width="20.7109375" style="3" customWidth="1"/>
    <col min="4102" max="4102" width="12" style="3" customWidth="1"/>
    <col min="4103" max="4103" width="5.42578125" style="3" customWidth="1"/>
    <col min="4104" max="4104" width="17.5703125" style="3" customWidth="1"/>
    <col min="4105" max="4105" width="16.42578125" style="3" customWidth="1"/>
    <col min="4106" max="4106" width="21.85546875" style="3" customWidth="1"/>
    <col min="4107" max="4352" width="10.140625" style="3"/>
    <col min="4353" max="4353" width="12" style="3" customWidth="1"/>
    <col min="4354" max="4354" width="5.42578125" style="3" customWidth="1"/>
    <col min="4355" max="4355" width="17.5703125" style="3" customWidth="1"/>
    <col min="4356" max="4356" width="16.42578125" style="3" customWidth="1"/>
    <col min="4357" max="4357" width="20.7109375" style="3" customWidth="1"/>
    <col min="4358" max="4358" width="12" style="3" customWidth="1"/>
    <col min="4359" max="4359" width="5.42578125" style="3" customWidth="1"/>
    <col min="4360" max="4360" width="17.5703125" style="3" customWidth="1"/>
    <col min="4361" max="4361" width="16.42578125" style="3" customWidth="1"/>
    <col min="4362" max="4362" width="21.85546875" style="3" customWidth="1"/>
    <col min="4363" max="4608" width="10.140625" style="3"/>
    <col min="4609" max="4609" width="12" style="3" customWidth="1"/>
    <col min="4610" max="4610" width="5.42578125" style="3" customWidth="1"/>
    <col min="4611" max="4611" width="17.5703125" style="3" customWidth="1"/>
    <col min="4612" max="4612" width="16.42578125" style="3" customWidth="1"/>
    <col min="4613" max="4613" width="20.7109375" style="3" customWidth="1"/>
    <col min="4614" max="4614" width="12" style="3" customWidth="1"/>
    <col min="4615" max="4615" width="5.42578125" style="3" customWidth="1"/>
    <col min="4616" max="4616" width="17.5703125" style="3" customWidth="1"/>
    <col min="4617" max="4617" width="16.42578125" style="3" customWidth="1"/>
    <col min="4618" max="4618" width="21.85546875" style="3" customWidth="1"/>
    <col min="4619" max="4864" width="10.140625" style="3"/>
    <col min="4865" max="4865" width="12" style="3" customWidth="1"/>
    <col min="4866" max="4866" width="5.42578125" style="3" customWidth="1"/>
    <col min="4867" max="4867" width="17.5703125" style="3" customWidth="1"/>
    <col min="4868" max="4868" width="16.42578125" style="3" customWidth="1"/>
    <col min="4869" max="4869" width="20.7109375" style="3" customWidth="1"/>
    <col min="4870" max="4870" width="12" style="3" customWidth="1"/>
    <col min="4871" max="4871" width="5.42578125" style="3" customWidth="1"/>
    <col min="4872" max="4872" width="17.5703125" style="3" customWidth="1"/>
    <col min="4873" max="4873" width="16.42578125" style="3" customWidth="1"/>
    <col min="4874" max="4874" width="21.85546875" style="3" customWidth="1"/>
    <col min="4875" max="5120" width="10.140625" style="3"/>
    <col min="5121" max="5121" width="12" style="3" customWidth="1"/>
    <col min="5122" max="5122" width="5.42578125" style="3" customWidth="1"/>
    <col min="5123" max="5123" width="17.5703125" style="3" customWidth="1"/>
    <col min="5124" max="5124" width="16.42578125" style="3" customWidth="1"/>
    <col min="5125" max="5125" width="20.7109375" style="3" customWidth="1"/>
    <col min="5126" max="5126" width="12" style="3" customWidth="1"/>
    <col min="5127" max="5127" width="5.42578125" style="3" customWidth="1"/>
    <col min="5128" max="5128" width="17.5703125" style="3" customWidth="1"/>
    <col min="5129" max="5129" width="16.42578125" style="3" customWidth="1"/>
    <col min="5130" max="5130" width="21.85546875" style="3" customWidth="1"/>
    <col min="5131" max="5376" width="10.140625" style="3"/>
    <col min="5377" max="5377" width="12" style="3" customWidth="1"/>
    <col min="5378" max="5378" width="5.42578125" style="3" customWidth="1"/>
    <col min="5379" max="5379" width="17.5703125" style="3" customWidth="1"/>
    <col min="5380" max="5380" width="16.42578125" style="3" customWidth="1"/>
    <col min="5381" max="5381" width="20.7109375" style="3" customWidth="1"/>
    <col min="5382" max="5382" width="12" style="3" customWidth="1"/>
    <col min="5383" max="5383" width="5.42578125" style="3" customWidth="1"/>
    <col min="5384" max="5384" width="17.5703125" style="3" customWidth="1"/>
    <col min="5385" max="5385" width="16.42578125" style="3" customWidth="1"/>
    <col min="5386" max="5386" width="21.85546875" style="3" customWidth="1"/>
    <col min="5387" max="5632" width="10.140625" style="3"/>
    <col min="5633" max="5633" width="12" style="3" customWidth="1"/>
    <col min="5634" max="5634" width="5.42578125" style="3" customWidth="1"/>
    <col min="5635" max="5635" width="17.5703125" style="3" customWidth="1"/>
    <col min="5636" max="5636" width="16.42578125" style="3" customWidth="1"/>
    <col min="5637" max="5637" width="20.7109375" style="3" customWidth="1"/>
    <col min="5638" max="5638" width="12" style="3" customWidth="1"/>
    <col min="5639" max="5639" width="5.42578125" style="3" customWidth="1"/>
    <col min="5640" max="5640" width="17.5703125" style="3" customWidth="1"/>
    <col min="5641" max="5641" width="16.42578125" style="3" customWidth="1"/>
    <col min="5642" max="5642" width="21.85546875" style="3" customWidth="1"/>
    <col min="5643" max="5888" width="10.140625" style="3"/>
    <col min="5889" max="5889" width="12" style="3" customWidth="1"/>
    <col min="5890" max="5890" width="5.42578125" style="3" customWidth="1"/>
    <col min="5891" max="5891" width="17.5703125" style="3" customWidth="1"/>
    <col min="5892" max="5892" width="16.42578125" style="3" customWidth="1"/>
    <col min="5893" max="5893" width="20.7109375" style="3" customWidth="1"/>
    <col min="5894" max="5894" width="12" style="3" customWidth="1"/>
    <col min="5895" max="5895" width="5.42578125" style="3" customWidth="1"/>
    <col min="5896" max="5896" width="17.5703125" style="3" customWidth="1"/>
    <col min="5897" max="5897" width="16.42578125" style="3" customWidth="1"/>
    <col min="5898" max="5898" width="21.85546875" style="3" customWidth="1"/>
    <col min="5899" max="6144" width="10.140625" style="3"/>
    <col min="6145" max="6145" width="12" style="3" customWidth="1"/>
    <col min="6146" max="6146" width="5.42578125" style="3" customWidth="1"/>
    <col min="6147" max="6147" width="17.5703125" style="3" customWidth="1"/>
    <col min="6148" max="6148" width="16.42578125" style="3" customWidth="1"/>
    <col min="6149" max="6149" width="20.7109375" style="3" customWidth="1"/>
    <col min="6150" max="6150" width="12" style="3" customWidth="1"/>
    <col min="6151" max="6151" width="5.42578125" style="3" customWidth="1"/>
    <col min="6152" max="6152" width="17.5703125" style="3" customWidth="1"/>
    <col min="6153" max="6153" width="16.42578125" style="3" customWidth="1"/>
    <col min="6154" max="6154" width="21.85546875" style="3" customWidth="1"/>
    <col min="6155" max="6400" width="10.140625" style="3"/>
    <col min="6401" max="6401" width="12" style="3" customWidth="1"/>
    <col min="6402" max="6402" width="5.42578125" style="3" customWidth="1"/>
    <col min="6403" max="6403" width="17.5703125" style="3" customWidth="1"/>
    <col min="6404" max="6404" width="16.42578125" style="3" customWidth="1"/>
    <col min="6405" max="6405" width="20.7109375" style="3" customWidth="1"/>
    <col min="6406" max="6406" width="12" style="3" customWidth="1"/>
    <col min="6407" max="6407" width="5.42578125" style="3" customWidth="1"/>
    <col min="6408" max="6408" width="17.5703125" style="3" customWidth="1"/>
    <col min="6409" max="6409" width="16.42578125" style="3" customWidth="1"/>
    <col min="6410" max="6410" width="21.85546875" style="3" customWidth="1"/>
    <col min="6411" max="6656" width="10.140625" style="3"/>
    <col min="6657" max="6657" width="12" style="3" customWidth="1"/>
    <col min="6658" max="6658" width="5.42578125" style="3" customWidth="1"/>
    <col min="6659" max="6659" width="17.5703125" style="3" customWidth="1"/>
    <col min="6660" max="6660" width="16.42578125" style="3" customWidth="1"/>
    <col min="6661" max="6661" width="20.7109375" style="3" customWidth="1"/>
    <col min="6662" max="6662" width="12" style="3" customWidth="1"/>
    <col min="6663" max="6663" width="5.42578125" style="3" customWidth="1"/>
    <col min="6664" max="6664" width="17.5703125" style="3" customWidth="1"/>
    <col min="6665" max="6665" width="16.42578125" style="3" customWidth="1"/>
    <col min="6666" max="6666" width="21.85546875" style="3" customWidth="1"/>
    <col min="6667" max="6912" width="10.140625" style="3"/>
    <col min="6913" max="6913" width="12" style="3" customWidth="1"/>
    <col min="6914" max="6914" width="5.42578125" style="3" customWidth="1"/>
    <col min="6915" max="6915" width="17.5703125" style="3" customWidth="1"/>
    <col min="6916" max="6916" width="16.42578125" style="3" customWidth="1"/>
    <col min="6917" max="6917" width="20.7109375" style="3" customWidth="1"/>
    <col min="6918" max="6918" width="12" style="3" customWidth="1"/>
    <col min="6919" max="6919" width="5.42578125" style="3" customWidth="1"/>
    <col min="6920" max="6920" width="17.5703125" style="3" customWidth="1"/>
    <col min="6921" max="6921" width="16.42578125" style="3" customWidth="1"/>
    <col min="6922" max="6922" width="21.85546875" style="3" customWidth="1"/>
    <col min="6923" max="7168" width="10.140625" style="3"/>
    <col min="7169" max="7169" width="12" style="3" customWidth="1"/>
    <col min="7170" max="7170" width="5.42578125" style="3" customWidth="1"/>
    <col min="7171" max="7171" width="17.5703125" style="3" customWidth="1"/>
    <col min="7172" max="7172" width="16.42578125" style="3" customWidth="1"/>
    <col min="7173" max="7173" width="20.7109375" style="3" customWidth="1"/>
    <col min="7174" max="7174" width="12" style="3" customWidth="1"/>
    <col min="7175" max="7175" width="5.42578125" style="3" customWidth="1"/>
    <col min="7176" max="7176" width="17.5703125" style="3" customWidth="1"/>
    <col min="7177" max="7177" width="16.42578125" style="3" customWidth="1"/>
    <col min="7178" max="7178" width="21.85546875" style="3" customWidth="1"/>
    <col min="7179" max="7424" width="10.140625" style="3"/>
    <col min="7425" max="7425" width="12" style="3" customWidth="1"/>
    <col min="7426" max="7426" width="5.42578125" style="3" customWidth="1"/>
    <col min="7427" max="7427" width="17.5703125" style="3" customWidth="1"/>
    <col min="7428" max="7428" width="16.42578125" style="3" customWidth="1"/>
    <col min="7429" max="7429" width="20.7109375" style="3" customWidth="1"/>
    <col min="7430" max="7430" width="12" style="3" customWidth="1"/>
    <col min="7431" max="7431" width="5.42578125" style="3" customWidth="1"/>
    <col min="7432" max="7432" width="17.5703125" style="3" customWidth="1"/>
    <col min="7433" max="7433" width="16.42578125" style="3" customWidth="1"/>
    <col min="7434" max="7434" width="21.85546875" style="3" customWidth="1"/>
    <col min="7435" max="7680" width="10.140625" style="3"/>
    <col min="7681" max="7681" width="12" style="3" customWidth="1"/>
    <col min="7682" max="7682" width="5.42578125" style="3" customWidth="1"/>
    <col min="7683" max="7683" width="17.5703125" style="3" customWidth="1"/>
    <col min="7684" max="7684" width="16.42578125" style="3" customWidth="1"/>
    <col min="7685" max="7685" width="20.7109375" style="3" customWidth="1"/>
    <col min="7686" max="7686" width="12" style="3" customWidth="1"/>
    <col min="7687" max="7687" width="5.42578125" style="3" customWidth="1"/>
    <col min="7688" max="7688" width="17.5703125" style="3" customWidth="1"/>
    <col min="7689" max="7689" width="16.42578125" style="3" customWidth="1"/>
    <col min="7690" max="7690" width="21.85546875" style="3" customWidth="1"/>
    <col min="7691" max="7936" width="10.140625" style="3"/>
    <col min="7937" max="7937" width="12" style="3" customWidth="1"/>
    <col min="7938" max="7938" width="5.42578125" style="3" customWidth="1"/>
    <col min="7939" max="7939" width="17.5703125" style="3" customWidth="1"/>
    <col min="7940" max="7940" width="16.42578125" style="3" customWidth="1"/>
    <col min="7941" max="7941" width="20.7109375" style="3" customWidth="1"/>
    <col min="7942" max="7942" width="12" style="3" customWidth="1"/>
    <col min="7943" max="7943" width="5.42578125" style="3" customWidth="1"/>
    <col min="7944" max="7944" width="17.5703125" style="3" customWidth="1"/>
    <col min="7945" max="7945" width="16.42578125" style="3" customWidth="1"/>
    <col min="7946" max="7946" width="21.85546875" style="3" customWidth="1"/>
    <col min="7947" max="8192" width="10.140625" style="3"/>
    <col min="8193" max="8193" width="12" style="3" customWidth="1"/>
    <col min="8194" max="8194" width="5.42578125" style="3" customWidth="1"/>
    <col min="8195" max="8195" width="17.5703125" style="3" customWidth="1"/>
    <col min="8196" max="8196" width="16.42578125" style="3" customWidth="1"/>
    <col min="8197" max="8197" width="20.7109375" style="3" customWidth="1"/>
    <col min="8198" max="8198" width="12" style="3" customWidth="1"/>
    <col min="8199" max="8199" width="5.42578125" style="3" customWidth="1"/>
    <col min="8200" max="8200" width="17.5703125" style="3" customWidth="1"/>
    <col min="8201" max="8201" width="16.42578125" style="3" customWidth="1"/>
    <col min="8202" max="8202" width="21.85546875" style="3" customWidth="1"/>
    <col min="8203" max="8448" width="10.140625" style="3"/>
    <col min="8449" max="8449" width="12" style="3" customWidth="1"/>
    <col min="8450" max="8450" width="5.42578125" style="3" customWidth="1"/>
    <col min="8451" max="8451" width="17.5703125" style="3" customWidth="1"/>
    <col min="8452" max="8452" width="16.42578125" style="3" customWidth="1"/>
    <col min="8453" max="8453" width="20.7109375" style="3" customWidth="1"/>
    <col min="8454" max="8454" width="12" style="3" customWidth="1"/>
    <col min="8455" max="8455" width="5.42578125" style="3" customWidth="1"/>
    <col min="8456" max="8456" width="17.5703125" style="3" customWidth="1"/>
    <col min="8457" max="8457" width="16.42578125" style="3" customWidth="1"/>
    <col min="8458" max="8458" width="21.85546875" style="3" customWidth="1"/>
    <col min="8459" max="8704" width="10.140625" style="3"/>
    <col min="8705" max="8705" width="12" style="3" customWidth="1"/>
    <col min="8706" max="8706" width="5.42578125" style="3" customWidth="1"/>
    <col min="8707" max="8707" width="17.5703125" style="3" customWidth="1"/>
    <col min="8708" max="8708" width="16.42578125" style="3" customWidth="1"/>
    <col min="8709" max="8709" width="20.7109375" style="3" customWidth="1"/>
    <col min="8710" max="8710" width="12" style="3" customWidth="1"/>
    <col min="8711" max="8711" width="5.42578125" style="3" customWidth="1"/>
    <col min="8712" max="8712" width="17.5703125" style="3" customWidth="1"/>
    <col min="8713" max="8713" width="16.42578125" style="3" customWidth="1"/>
    <col min="8714" max="8714" width="21.85546875" style="3" customWidth="1"/>
    <col min="8715" max="8960" width="10.140625" style="3"/>
    <col min="8961" max="8961" width="12" style="3" customWidth="1"/>
    <col min="8962" max="8962" width="5.42578125" style="3" customWidth="1"/>
    <col min="8963" max="8963" width="17.5703125" style="3" customWidth="1"/>
    <col min="8964" max="8964" width="16.42578125" style="3" customWidth="1"/>
    <col min="8965" max="8965" width="20.7109375" style="3" customWidth="1"/>
    <col min="8966" max="8966" width="12" style="3" customWidth="1"/>
    <col min="8967" max="8967" width="5.42578125" style="3" customWidth="1"/>
    <col min="8968" max="8968" width="17.5703125" style="3" customWidth="1"/>
    <col min="8969" max="8969" width="16.42578125" style="3" customWidth="1"/>
    <col min="8970" max="8970" width="21.85546875" style="3" customWidth="1"/>
    <col min="8971" max="9216" width="10.140625" style="3"/>
    <col min="9217" max="9217" width="12" style="3" customWidth="1"/>
    <col min="9218" max="9218" width="5.42578125" style="3" customWidth="1"/>
    <col min="9219" max="9219" width="17.5703125" style="3" customWidth="1"/>
    <col min="9220" max="9220" width="16.42578125" style="3" customWidth="1"/>
    <col min="9221" max="9221" width="20.7109375" style="3" customWidth="1"/>
    <col min="9222" max="9222" width="12" style="3" customWidth="1"/>
    <col min="9223" max="9223" width="5.42578125" style="3" customWidth="1"/>
    <col min="9224" max="9224" width="17.5703125" style="3" customWidth="1"/>
    <col min="9225" max="9225" width="16.42578125" style="3" customWidth="1"/>
    <col min="9226" max="9226" width="21.85546875" style="3" customWidth="1"/>
    <col min="9227" max="9472" width="10.140625" style="3"/>
    <col min="9473" max="9473" width="12" style="3" customWidth="1"/>
    <col min="9474" max="9474" width="5.42578125" style="3" customWidth="1"/>
    <col min="9475" max="9475" width="17.5703125" style="3" customWidth="1"/>
    <col min="9476" max="9476" width="16.42578125" style="3" customWidth="1"/>
    <col min="9477" max="9477" width="20.7109375" style="3" customWidth="1"/>
    <col min="9478" max="9478" width="12" style="3" customWidth="1"/>
    <col min="9479" max="9479" width="5.42578125" style="3" customWidth="1"/>
    <col min="9480" max="9480" width="17.5703125" style="3" customWidth="1"/>
    <col min="9481" max="9481" width="16.42578125" style="3" customWidth="1"/>
    <col min="9482" max="9482" width="21.85546875" style="3" customWidth="1"/>
    <col min="9483" max="9728" width="10.140625" style="3"/>
    <col min="9729" max="9729" width="12" style="3" customWidth="1"/>
    <col min="9730" max="9730" width="5.42578125" style="3" customWidth="1"/>
    <col min="9731" max="9731" width="17.5703125" style="3" customWidth="1"/>
    <col min="9732" max="9732" width="16.42578125" style="3" customWidth="1"/>
    <col min="9733" max="9733" width="20.7109375" style="3" customWidth="1"/>
    <col min="9734" max="9734" width="12" style="3" customWidth="1"/>
    <col min="9735" max="9735" width="5.42578125" style="3" customWidth="1"/>
    <col min="9736" max="9736" width="17.5703125" style="3" customWidth="1"/>
    <col min="9737" max="9737" width="16.42578125" style="3" customWidth="1"/>
    <col min="9738" max="9738" width="21.85546875" style="3" customWidth="1"/>
    <col min="9739" max="9984" width="10.140625" style="3"/>
    <col min="9985" max="9985" width="12" style="3" customWidth="1"/>
    <col min="9986" max="9986" width="5.42578125" style="3" customWidth="1"/>
    <col min="9987" max="9987" width="17.5703125" style="3" customWidth="1"/>
    <col min="9988" max="9988" width="16.42578125" style="3" customWidth="1"/>
    <col min="9989" max="9989" width="20.7109375" style="3" customWidth="1"/>
    <col min="9990" max="9990" width="12" style="3" customWidth="1"/>
    <col min="9991" max="9991" width="5.42578125" style="3" customWidth="1"/>
    <col min="9992" max="9992" width="17.5703125" style="3" customWidth="1"/>
    <col min="9993" max="9993" width="16.42578125" style="3" customWidth="1"/>
    <col min="9994" max="9994" width="21.85546875" style="3" customWidth="1"/>
    <col min="9995" max="10240" width="10.140625" style="3"/>
    <col min="10241" max="10241" width="12" style="3" customWidth="1"/>
    <col min="10242" max="10242" width="5.42578125" style="3" customWidth="1"/>
    <col min="10243" max="10243" width="17.5703125" style="3" customWidth="1"/>
    <col min="10244" max="10244" width="16.42578125" style="3" customWidth="1"/>
    <col min="10245" max="10245" width="20.7109375" style="3" customWidth="1"/>
    <col min="10246" max="10246" width="12" style="3" customWidth="1"/>
    <col min="10247" max="10247" width="5.42578125" style="3" customWidth="1"/>
    <col min="10248" max="10248" width="17.5703125" style="3" customWidth="1"/>
    <col min="10249" max="10249" width="16.42578125" style="3" customWidth="1"/>
    <col min="10250" max="10250" width="21.85546875" style="3" customWidth="1"/>
    <col min="10251" max="10496" width="10.140625" style="3"/>
    <col min="10497" max="10497" width="12" style="3" customWidth="1"/>
    <col min="10498" max="10498" width="5.42578125" style="3" customWidth="1"/>
    <col min="10499" max="10499" width="17.5703125" style="3" customWidth="1"/>
    <col min="10500" max="10500" width="16.42578125" style="3" customWidth="1"/>
    <col min="10501" max="10501" width="20.7109375" style="3" customWidth="1"/>
    <col min="10502" max="10502" width="12" style="3" customWidth="1"/>
    <col min="10503" max="10503" width="5.42578125" style="3" customWidth="1"/>
    <col min="10504" max="10504" width="17.5703125" style="3" customWidth="1"/>
    <col min="10505" max="10505" width="16.42578125" style="3" customWidth="1"/>
    <col min="10506" max="10506" width="21.85546875" style="3" customWidth="1"/>
    <col min="10507" max="10752" width="10.140625" style="3"/>
    <col min="10753" max="10753" width="12" style="3" customWidth="1"/>
    <col min="10754" max="10754" width="5.42578125" style="3" customWidth="1"/>
    <col min="10755" max="10755" width="17.5703125" style="3" customWidth="1"/>
    <col min="10756" max="10756" width="16.42578125" style="3" customWidth="1"/>
    <col min="10757" max="10757" width="20.7109375" style="3" customWidth="1"/>
    <col min="10758" max="10758" width="12" style="3" customWidth="1"/>
    <col min="10759" max="10759" width="5.42578125" style="3" customWidth="1"/>
    <col min="10760" max="10760" width="17.5703125" style="3" customWidth="1"/>
    <col min="10761" max="10761" width="16.42578125" style="3" customWidth="1"/>
    <col min="10762" max="10762" width="21.85546875" style="3" customWidth="1"/>
    <col min="10763" max="11008" width="10.140625" style="3"/>
    <col min="11009" max="11009" width="12" style="3" customWidth="1"/>
    <col min="11010" max="11010" width="5.42578125" style="3" customWidth="1"/>
    <col min="11011" max="11011" width="17.5703125" style="3" customWidth="1"/>
    <col min="11012" max="11012" width="16.42578125" style="3" customWidth="1"/>
    <col min="11013" max="11013" width="20.7109375" style="3" customWidth="1"/>
    <col min="11014" max="11014" width="12" style="3" customWidth="1"/>
    <col min="11015" max="11015" width="5.42578125" style="3" customWidth="1"/>
    <col min="11016" max="11016" width="17.5703125" style="3" customWidth="1"/>
    <col min="11017" max="11017" width="16.42578125" style="3" customWidth="1"/>
    <col min="11018" max="11018" width="21.85546875" style="3" customWidth="1"/>
    <col min="11019" max="11264" width="10.140625" style="3"/>
    <col min="11265" max="11265" width="12" style="3" customWidth="1"/>
    <col min="11266" max="11266" width="5.42578125" style="3" customWidth="1"/>
    <col min="11267" max="11267" width="17.5703125" style="3" customWidth="1"/>
    <col min="11268" max="11268" width="16.42578125" style="3" customWidth="1"/>
    <col min="11269" max="11269" width="20.7109375" style="3" customWidth="1"/>
    <col min="11270" max="11270" width="12" style="3" customWidth="1"/>
    <col min="11271" max="11271" width="5.42578125" style="3" customWidth="1"/>
    <col min="11272" max="11272" width="17.5703125" style="3" customWidth="1"/>
    <col min="11273" max="11273" width="16.42578125" style="3" customWidth="1"/>
    <col min="11274" max="11274" width="21.85546875" style="3" customWidth="1"/>
    <col min="11275" max="11520" width="10.140625" style="3"/>
    <col min="11521" max="11521" width="12" style="3" customWidth="1"/>
    <col min="11522" max="11522" width="5.42578125" style="3" customWidth="1"/>
    <col min="11523" max="11523" width="17.5703125" style="3" customWidth="1"/>
    <col min="11524" max="11524" width="16.42578125" style="3" customWidth="1"/>
    <col min="11525" max="11525" width="20.7109375" style="3" customWidth="1"/>
    <col min="11526" max="11526" width="12" style="3" customWidth="1"/>
    <col min="11527" max="11527" width="5.42578125" style="3" customWidth="1"/>
    <col min="11528" max="11528" width="17.5703125" style="3" customWidth="1"/>
    <col min="11529" max="11529" width="16.42578125" style="3" customWidth="1"/>
    <col min="11530" max="11530" width="21.85546875" style="3" customWidth="1"/>
    <col min="11531" max="11776" width="10.140625" style="3"/>
    <col min="11777" max="11777" width="12" style="3" customWidth="1"/>
    <col min="11778" max="11778" width="5.42578125" style="3" customWidth="1"/>
    <col min="11779" max="11779" width="17.5703125" style="3" customWidth="1"/>
    <col min="11780" max="11780" width="16.42578125" style="3" customWidth="1"/>
    <col min="11781" max="11781" width="20.7109375" style="3" customWidth="1"/>
    <col min="11782" max="11782" width="12" style="3" customWidth="1"/>
    <col min="11783" max="11783" width="5.42578125" style="3" customWidth="1"/>
    <col min="11784" max="11784" width="17.5703125" style="3" customWidth="1"/>
    <col min="11785" max="11785" width="16.42578125" style="3" customWidth="1"/>
    <col min="11786" max="11786" width="21.85546875" style="3" customWidth="1"/>
    <col min="11787" max="12032" width="10.140625" style="3"/>
    <col min="12033" max="12033" width="12" style="3" customWidth="1"/>
    <col min="12034" max="12034" width="5.42578125" style="3" customWidth="1"/>
    <col min="12035" max="12035" width="17.5703125" style="3" customWidth="1"/>
    <col min="12036" max="12036" width="16.42578125" style="3" customWidth="1"/>
    <col min="12037" max="12037" width="20.7109375" style="3" customWidth="1"/>
    <col min="12038" max="12038" width="12" style="3" customWidth="1"/>
    <col min="12039" max="12039" width="5.42578125" style="3" customWidth="1"/>
    <col min="12040" max="12040" width="17.5703125" style="3" customWidth="1"/>
    <col min="12041" max="12041" width="16.42578125" style="3" customWidth="1"/>
    <col min="12042" max="12042" width="21.85546875" style="3" customWidth="1"/>
    <col min="12043" max="12288" width="10.140625" style="3"/>
    <col min="12289" max="12289" width="12" style="3" customWidth="1"/>
    <col min="12290" max="12290" width="5.42578125" style="3" customWidth="1"/>
    <col min="12291" max="12291" width="17.5703125" style="3" customWidth="1"/>
    <col min="12292" max="12292" width="16.42578125" style="3" customWidth="1"/>
    <col min="12293" max="12293" width="20.7109375" style="3" customWidth="1"/>
    <col min="12294" max="12294" width="12" style="3" customWidth="1"/>
    <col min="12295" max="12295" width="5.42578125" style="3" customWidth="1"/>
    <col min="12296" max="12296" width="17.5703125" style="3" customWidth="1"/>
    <col min="12297" max="12297" width="16.42578125" style="3" customWidth="1"/>
    <col min="12298" max="12298" width="21.85546875" style="3" customWidth="1"/>
    <col min="12299" max="12544" width="10.140625" style="3"/>
    <col min="12545" max="12545" width="12" style="3" customWidth="1"/>
    <col min="12546" max="12546" width="5.42578125" style="3" customWidth="1"/>
    <col min="12547" max="12547" width="17.5703125" style="3" customWidth="1"/>
    <col min="12548" max="12548" width="16.42578125" style="3" customWidth="1"/>
    <col min="12549" max="12549" width="20.7109375" style="3" customWidth="1"/>
    <col min="12550" max="12550" width="12" style="3" customWidth="1"/>
    <col min="12551" max="12551" width="5.42578125" style="3" customWidth="1"/>
    <col min="12552" max="12552" width="17.5703125" style="3" customWidth="1"/>
    <col min="12553" max="12553" width="16.42578125" style="3" customWidth="1"/>
    <col min="12554" max="12554" width="21.85546875" style="3" customWidth="1"/>
    <col min="12555" max="12800" width="10.140625" style="3"/>
    <col min="12801" max="12801" width="12" style="3" customWidth="1"/>
    <col min="12802" max="12802" width="5.42578125" style="3" customWidth="1"/>
    <col min="12803" max="12803" width="17.5703125" style="3" customWidth="1"/>
    <col min="12804" max="12804" width="16.42578125" style="3" customWidth="1"/>
    <col min="12805" max="12805" width="20.7109375" style="3" customWidth="1"/>
    <col min="12806" max="12806" width="12" style="3" customWidth="1"/>
    <col min="12807" max="12807" width="5.42578125" style="3" customWidth="1"/>
    <col min="12808" max="12808" width="17.5703125" style="3" customWidth="1"/>
    <col min="12809" max="12809" width="16.42578125" style="3" customWidth="1"/>
    <col min="12810" max="12810" width="21.85546875" style="3" customWidth="1"/>
    <col min="12811" max="13056" width="10.140625" style="3"/>
    <col min="13057" max="13057" width="12" style="3" customWidth="1"/>
    <col min="13058" max="13058" width="5.42578125" style="3" customWidth="1"/>
    <col min="13059" max="13059" width="17.5703125" style="3" customWidth="1"/>
    <col min="13060" max="13060" width="16.42578125" style="3" customWidth="1"/>
    <col min="13061" max="13061" width="20.7109375" style="3" customWidth="1"/>
    <col min="13062" max="13062" width="12" style="3" customWidth="1"/>
    <col min="13063" max="13063" width="5.42578125" style="3" customWidth="1"/>
    <col min="13064" max="13064" width="17.5703125" style="3" customWidth="1"/>
    <col min="13065" max="13065" width="16.42578125" style="3" customWidth="1"/>
    <col min="13066" max="13066" width="21.85546875" style="3" customWidth="1"/>
    <col min="13067" max="13312" width="10.140625" style="3"/>
    <col min="13313" max="13313" width="12" style="3" customWidth="1"/>
    <col min="13314" max="13314" width="5.42578125" style="3" customWidth="1"/>
    <col min="13315" max="13315" width="17.5703125" style="3" customWidth="1"/>
    <col min="13316" max="13316" width="16.42578125" style="3" customWidth="1"/>
    <col min="13317" max="13317" width="20.7109375" style="3" customWidth="1"/>
    <col min="13318" max="13318" width="12" style="3" customWidth="1"/>
    <col min="13319" max="13319" width="5.42578125" style="3" customWidth="1"/>
    <col min="13320" max="13320" width="17.5703125" style="3" customWidth="1"/>
    <col min="13321" max="13321" width="16.42578125" style="3" customWidth="1"/>
    <col min="13322" max="13322" width="21.85546875" style="3" customWidth="1"/>
    <col min="13323" max="13568" width="10.140625" style="3"/>
    <col min="13569" max="13569" width="12" style="3" customWidth="1"/>
    <col min="13570" max="13570" width="5.42578125" style="3" customWidth="1"/>
    <col min="13571" max="13571" width="17.5703125" style="3" customWidth="1"/>
    <col min="13572" max="13572" width="16.42578125" style="3" customWidth="1"/>
    <col min="13573" max="13573" width="20.7109375" style="3" customWidth="1"/>
    <col min="13574" max="13574" width="12" style="3" customWidth="1"/>
    <col min="13575" max="13575" width="5.42578125" style="3" customWidth="1"/>
    <col min="13576" max="13576" width="17.5703125" style="3" customWidth="1"/>
    <col min="13577" max="13577" width="16.42578125" style="3" customWidth="1"/>
    <col min="13578" max="13578" width="21.85546875" style="3" customWidth="1"/>
    <col min="13579" max="13824" width="10.140625" style="3"/>
    <col min="13825" max="13825" width="12" style="3" customWidth="1"/>
    <col min="13826" max="13826" width="5.42578125" style="3" customWidth="1"/>
    <col min="13827" max="13827" width="17.5703125" style="3" customWidth="1"/>
    <col min="13828" max="13828" width="16.42578125" style="3" customWidth="1"/>
    <col min="13829" max="13829" width="20.7109375" style="3" customWidth="1"/>
    <col min="13830" max="13830" width="12" style="3" customWidth="1"/>
    <col min="13831" max="13831" width="5.42578125" style="3" customWidth="1"/>
    <col min="13832" max="13832" width="17.5703125" style="3" customWidth="1"/>
    <col min="13833" max="13833" width="16.42578125" style="3" customWidth="1"/>
    <col min="13834" max="13834" width="21.85546875" style="3" customWidth="1"/>
    <col min="13835" max="14080" width="10.140625" style="3"/>
    <col min="14081" max="14081" width="12" style="3" customWidth="1"/>
    <col min="14082" max="14082" width="5.42578125" style="3" customWidth="1"/>
    <col min="14083" max="14083" width="17.5703125" style="3" customWidth="1"/>
    <col min="14084" max="14084" width="16.42578125" style="3" customWidth="1"/>
    <col min="14085" max="14085" width="20.7109375" style="3" customWidth="1"/>
    <col min="14086" max="14086" width="12" style="3" customWidth="1"/>
    <col min="14087" max="14087" width="5.42578125" style="3" customWidth="1"/>
    <col min="14088" max="14088" width="17.5703125" style="3" customWidth="1"/>
    <col min="14089" max="14089" width="16.42578125" style="3" customWidth="1"/>
    <col min="14090" max="14090" width="21.85546875" style="3" customWidth="1"/>
    <col min="14091" max="14336" width="10.140625" style="3"/>
    <col min="14337" max="14337" width="12" style="3" customWidth="1"/>
    <col min="14338" max="14338" width="5.42578125" style="3" customWidth="1"/>
    <col min="14339" max="14339" width="17.5703125" style="3" customWidth="1"/>
    <col min="14340" max="14340" width="16.42578125" style="3" customWidth="1"/>
    <col min="14341" max="14341" width="20.7109375" style="3" customWidth="1"/>
    <col min="14342" max="14342" width="12" style="3" customWidth="1"/>
    <col min="14343" max="14343" width="5.42578125" style="3" customWidth="1"/>
    <col min="14344" max="14344" width="17.5703125" style="3" customWidth="1"/>
    <col min="14345" max="14345" width="16.42578125" style="3" customWidth="1"/>
    <col min="14346" max="14346" width="21.85546875" style="3" customWidth="1"/>
    <col min="14347" max="14592" width="10.140625" style="3"/>
    <col min="14593" max="14593" width="12" style="3" customWidth="1"/>
    <col min="14594" max="14594" width="5.42578125" style="3" customWidth="1"/>
    <col min="14595" max="14595" width="17.5703125" style="3" customWidth="1"/>
    <col min="14596" max="14596" width="16.42578125" style="3" customWidth="1"/>
    <col min="14597" max="14597" width="20.7109375" style="3" customWidth="1"/>
    <col min="14598" max="14598" width="12" style="3" customWidth="1"/>
    <col min="14599" max="14599" width="5.42578125" style="3" customWidth="1"/>
    <col min="14600" max="14600" width="17.5703125" style="3" customWidth="1"/>
    <col min="14601" max="14601" width="16.42578125" style="3" customWidth="1"/>
    <col min="14602" max="14602" width="21.85546875" style="3" customWidth="1"/>
    <col min="14603" max="14848" width="10.140625" style="3"/>
    <col min="14849" max="14849" width="12" style="3" customWidth="1"/>
    <col min="14850" max="14850" width="5.42578125" style="3" customWidth="1"/>
    <col min="14851" max="14851" width="17.5703125" style="3" customWidth="1"/>
    <col min="14852" max="14852" width="16.42578125" style="3" customWidth="1"/>
    <col min="14853" max="14853" width="20.7109375" style="3" customWidth="1"/>
    <col min="14854" max="14854" width="12" style="3" customWidth="1"/>
    <col min="14855" max="14855" width="5.42578125" style="3" customWidth="1"/>
    <col min="14856" max="14856" width="17.5703125" style="3" customWidth="1"/>
    <col min="14857" max="14857" width="16.42578125" style="3" customWidth="1"/>
    <col min="14858" max="14858" width="21.85546875" style="3" customWidth="1"/>
    <col min="14859" max="15104" width="10.140625" style="3"/>
    <col min="15105" max="15105" width="12" style="3" customWidth="1"/>
    <col min="15106" max="15106" width="5.42578125" style="3" customWidth="1"/>
    <col min="15107" max="15107" width="17.5703125" style="3" customWidth="1"/>
    <col min="15108" max="15108" width="16.42578125" style="3" customWidth="1"/>
    <col min="15109" max="15109" width="20.7109375" style="3" customWidth="1"/>
    <col min="15110" max="15110" width="12" style="3" customWidth="1"/>
    <col min="15111" max="15111" width="5.42578125" style="3" customWidth="1"/>
    <col min="15112" max="15112" width="17.5703125" style="3" customWidth="1"/>
    <col min="15113" max="15113" width="16.42578125" style="3" customWidth="1"/>
    <col min="15114" max="15114" width="21.85546875" style="3" customWidth="1"/>
    <col min="15115" max="15360" width="10.140625" style="3"/>
    <col min="15361" max="15361" width="12" style="3" customWidth="1"/>
    <col min="15362" max="15362" width="5.42578125" style="3" customWidth="1"/>
    <col min="15363" max="15363" width="17.5703125" style="3" customWidth="1"/>
    <col min="15364" max="15364" width="16.42578125" style="3" customWidth="1"/>
    <col min="15365" max="15365" width="20.7109375" style="3" customWidth="1"/>
    <col min="15366" max="15366" width="12" style="3" customWidth="1"/>
    <col min="15367" max="15367" width="5.42578125" style="3" customWidth="1"/>
    <col min="15368" max="15368" width="17.5703125" style="3" customWidth="1"/>
    <col min="15369" max="15369" width="16.42578125" style="3" customWidth="1"/>
    <col min="15370" max="15370" width="21.85546875" style="3" customWidth="1"/>
    <col min="15371" max="15616" width="10.140625" style="3"/>
    <col min="15617" max="15617" width="12" style="3" customWidth="1"/>
    <col min="15618" max="15618" width="5.42578125" style="3" customWidth="1"/>
    <col min="15619" max="15619" width="17.5703125" style="3" customWidth="1"/>
    <col min="15620" max="15620" width="16.42578125" style="3" customWidth="1"/>
    <col min="15621" max="15621" width="20.7109375" style="3" customWidth="1"/>
    <col min="15622" max="15622" width="12" style="3" customWidth="1"/>
    <col min="15623" max="15623" width="5.42578125" style="3" customWidth="1"/>
    <col min="15624" max="15624" width="17.5703125" style="3" customWidth="1"/>
    <col min="15625" max="15625" width="16.42578125" style="3" customWidth="1"/>
    <col min="15626" max="15626" width="21.85546875" style="3" customWidth="1"/>
    <col min="15627" max="15872" width="10.140625" style="3"/>
    <col min="15873" max="15873" width="12" style="3" customWidth="1"/>
    <col min="15874" max="15874" width="5.42578125" style="3" customWidth="1"/>
    <col min="15875" max="15875" width="17.5703125" style="3" customWidth="1"/>
    <col min="15876" max="15876" width="16.42578125" style="3" customWidth="1"/>
    <col min="15877" max="15877" width="20.7109375" style="3" customWidth="1"/>
    <col min="15878" max="15878" width="12" style="3" customWidth="1"/>
    <col min="15879" max="15879" width="5.42578125" style="3" customWidth="1"/>
    <col min="15880" max="15880" width="17.5703125" style="3" customWidth="1"/>
    <col min="15881" max="15881" width="16.42578125" style="3" customWidth="1"/>
    <col min="15882" max="15882" width="21.85546875" style="3" customWidth="1"/>
    <col min="15883" max="16128" width="10.140625" style="3"/>
    <col min="16129" max="16129" width="12" style="3" customWidth="1"/>
    <col min="16130" max="16130" width="5.42578125" style="3" customWidth="1"/>
    <col min="16131" max="16131" width="17.5703125" style="3" customWidth="1"/>
    <col min="16132" max="16132" width="16.42578125" style="3" customWidth="1"/>
    <col min="16133" max="16133" width="20.7109375" style="3" customWidth="1"/>
    <col min="16134" max="16134" width="12" style="3" customWidth="1"/>
    <col min="16135" max="16135" width="5.42578125" style="3" customWidth="1"/>
    <col min="16136" max="16136" width="17.5703125" style="3" customWidth="1"/>
    <col min="16137" max="16137" width="16.42578125" style="3" customWidth="1"/>
    <col min="16138" max="16138" width="21.85546875" style="3" customWidth="1"/>
    <col min="16139" max="16384" width="10.140625" style="3"/>
  </cols>
  <sheetData>
    <row r="1" spans="1:10" ht="24" customHeight="1" x14ac:dyDescent="0.25">
      <c r="A1" s="24"/>
      <c r="B1" s="25"/>
      <c r="C1" s="25"/>
      <c r="D1" s="25"/>
      <c r="E1" s="25"/>
      <c r="F1" s="25"/>
      <c r="G1" s="25"/>
      <c r="H1" s="25"/>
      <c r="I1" s="25"/>
      <c r="J1" s="26"/>
    </row>
    <row r="2" spans="1:10" s="5" customFormat="1" ht="32.25" x14ac:dyDescent="0.45">
      <c r="A2" s="128" t="s">
        <v>0</v>
      </c>
      <c r="B2" s="117"/>
      <c r="C2" s="117"/>
      <c r="D2" s="117"/>
      <c r="E2" s="117"/>
      <c r="F2" s="117"/>
      <c r="G2" s="117"/>
      <c r="H2" s="117"/>
      <c r="I2" s="117"/>
      <c r="J2" s="129"/>
    </row>
    <row r="3" spans="1:10" s="6" customFormat="1" ht="24" customHeight="1" x14ac:dyDescent="0.3">
      <c r="A3" s="130" t="s">
        <v>1</v>
      </c>
      <c r="B3" s="117"/>
      <c r="C3" s="117"/>
      <c r="D3" s="117"/>
      <c r="E3" s="117"/>
      <c r="F3" s="117"/>
      <c r="G3" s="117"/>
      <c r="H3" s="117"/>
      <c r="I3" s="117"/>
      <c r="J3" s="129"/>
    </row>
    <row r="4" spans="1:10" s="6" customFormat="1" ht="24" customHeight="1" x14ac:dyDescent="0.3">
      <c r="A4" s="130" t="s">
        <v>556</v>
      </c>
      <c r="B4" s="117"/>
      <c r="C4" s="117"/>
      <c r="D4" s="117"/>
      <c r="E4" s="117"/>
      <c r="F4" s="117"/>
      <c r="G4" s="117"/>
      <c r="H4" s="117"/>
      <c r="I4" s="117"/>
      <c r="J4" s="129"/>
    </row>
    <row r="5" spans="1:10" ht="24" customHeight="1" thickBot="1" x14ac:dyDescent="0.45">
      <c r="A5" s="27" t="s">
        <v>40</v>
      </c>
      <c r="E5" s="28"/>
      <c r="F5" s="28"/>
      <c r="I5" s="29"/>
      <c r="J5" s="94" t="s">
        <v>559</v>
      </c>
    </row>
    <row r="6" spans="1:10" s="35" customFormat="1" ht="24" customHeight="1" x14ac:dyDescent="0.3">
      <c r="A6" s="30"/>
      <c r="B6" s="31" t="s">
        <v>41</v>
      </c>
      <c r="C6" s="32"/>
      <c r="D6" s="32"/>
      <c r="E6" s="33"/>
      <c r="F6" s="30"/>
      <c r="G6" s="31" t="s">
        <v>42</v>
      </c>
      <c r="H6" s="32"/>
      <c r="I6" s="33"/>
      <c r="J6" s="34"/>
    </row>
    <row r="7" spans="1:10" s="37" customFormat="1" ht="24" customHeight="1" x14ac:dyDescent="0.25">
      <c r="A7" s="36"/>
      <c r="C7" s="37" t="s">
        <v>43</v>
      </c>
      <c r="D7" s="60">
        <f>'共保月帳單-彙整表'!C23</f>
        <v>126931</v>
      </c>
      <c r="F7" s="36"/>
      <c r="H7" s="37" t="s">
        <v>43</v>
      </c>
      <c r="I7" s="60">
        <f>'共保月帳單-彙整表'!B23</f>
        <v>350123</v>
      </c>
      <c r="J7" s="39"/>
    </row>
    <row r="8" spans="1:10" s="37" customFormat="1" ht="24" customHeight="1" x14ac:dyDescent="0.25">
      <c r="A8" s="36"/>
      <c r="D8" s="38"/>
      <c r="F8" s="36"/>
      <c r="I8" s="38"/>
      <c r="J8" s="39"/>
    </row>
    <row r="9" spans="1:10" s="37" customFormat="1" ht="24" customHeight="1" x14ac:dyDescent="0.25">
      <c r="A9" s="36"/>
      <c r="D9" s="38"/>
      <c r="F9" s="36"/>
      <c r="I9" s="38"/>
      <c r="J9" s="39"/>
    </row>
    <row r="10" spans="1:10" s="37" customFormat="1" ht="24" customHeight="1" x14ac:dyDescent="0.3">
      <c r="A10" s="36"/>
      <c r="B10" s="40" t="s">
        <v>44</v>
      </c>
      <c r="C10" s="41"/>
      <c r="D10" s="38"/>
      <c r="F10" s="36"/>
      <c r="I10" s="38"/>
      <c r="J10" s="39"/>
    </row>
    <row r="11" spans="1:10" s="35" customFormat="1" ht="24" customHeight="1" x14ac:dyDescent="0.25">
      <c r="A11" s="42"/>
      <c r="C11" s="37"/>
      <c r="D11" s="61">
        <f>'共保月帳單-彙整表'!I23</f>
        <v>17505</v>
      </c>
      <c r="E11" s="43"/>
      <c r="F11" s="42"/>
      <c r="J11" s="44"/>
    </row>
    <row r="12" spans="1:10" ht="24" customHeight="1" x14ac:dyDescent="0.3">
      <c r="A12" s="45"/>
      <c r="C12" s="46"/>
      <c r="F12" s="45"/>
      <c r="J12" s="4"/>
    </row>
    <row r="13" spans="1:10" ht="24" customHeight="1" x14ac:dyDescent="0.3">
      <c r="A13" s="45"/>
      <c r="B13" s="47" t="s">
        <v>45</v>
      </c>
      <c r="D13" s="48">
        <f>IF(SUM(I7:I10)&gt;SUM(D7:D11),I14-SUM(D7:D11),"")</f>
        <v>205687</v>
      </c>
      <c r="F13" s="45"/>
      <c r="G13" s="47"/>
      <c r="I13" s="48"/>
      <c r="J13" s="4"/>
    </row>
    <row r="14" spans="1:10" ht="24" customHeight="1" thickBot="1" x14ac:dyDescent="0.3">
      <c r="A14" s="45"/>
      <c r="D14" s="49">
        <f>SUM(D7:D13)</f>
        <v>350123</v>
      </c>
      <c r="F14" s="45"/>
      <c r="I14" s="49">
        <f>SUM(I7:I13)</f>
        <v>350123</v>
      </c>
      <c r="J14" s="4"/>
    </row>
    <row r="15" spans="1:10" ht="18" customHeight="1" thickTop="1" x14ac:dyDescent="0.25">
      <c r="A15" s="45"/>
      <c r="B15" s="50"/>
      <c r="C15" s="50"/>
      <c r="D15" s="50"/>
      <c r="E15" s="51"/>
      <c r="F15" s="52"/>
      <c r="J15" s="4"/>
    </row>
    <row r="16" spans="1:10" ht="18" customHeight="1" x14ac:dyDescent="0.25">
      <c r="A16" s="45"/>
      <c r="B16" s="50"/>
      <c r="C16" s="50"/>
      <c r="D16" s="50"/>
      <c r="E16" s="51"/>
      <c r="F16" s="52"/>
      <c r="J16" s="4"/>
    </row>
    <row r="17" spans="1:10" ht="18" customHeight="1" x14ac:dyDescent="0.25">
      <c r="A17" s="45"/>
      <c r="B17" s="50"/>
      <c r="C17" s="50"/>
      <c r="D17" s="50"/>
      <c r="E17" s="51"/>
      <c r="F17" s="52"/>
      <c r="J17" s="4"/>
    </row>
    <row r="18" spans="1:10" ht="18" customHeight="1" x14ac:dyDescent="0.25">
      <c r="A18" s="45"/>
      <c r="B18" s="50"/>
      <c r="C18" s="50"/>
      <c r="D18" s="50"/>
      <c r="E18" s="51"/>
      <c r="F18" s="52"/>
      <c r="J18" s="4"/>
    </row>
    <row r="19" spans="1:10" ht="18" customHeight="1" x14ac:dyDescent="0.25">
      <c r="A19" s="45"/>
      <c r="B19" s="50"/>
      <c r="C19" s="50"/>
      <c r="D19" s="50"/>
      <c r="E19" s="50"/>
      <c r="F19" s="53"/>
      <c r="J19" s="4"/>
    </row>
    <row r="20" spans="1:10" ht="24" customHeight="1" thickBot="1" x14ac:dyDescent="0.3">
      <c r="A20" s="45"/>
      <c r="B20" s="50"/>
      <c r="C20" s="51"/>
      <c r="D20" s="54"/>
      <c r="E20" s="54"/>
      <c r="F20" s="55"/>
      <c r="I20" s="56"/>
      <c r="J20" s="4"/>
    </row>
    <row r="21" spans="1:10" ht="36.950000000000003" customHeight="1" thickTop="1" thickBot="1" x14ac:dyDescent="0.35">
      <c r="A21" s="57"/>
      <c r="B21" s="58"/>
      <c r="C21" s="58"/>
      <c r="D21" s="58"/>
      <c r="E21" s="58"/>
      <c r="F21" s="59"/>
      <c r="G21" s="28"/>
      <c r="H21" s="28"/>
      <c r="I21" s="131" t="s">
        <v>46</v>
      </c>
      <c r="J21" s="132"/>
    </row>
    <row r="22" spans="1:10" ht="24" customHeight="1" x14ac:dyDescent="0.25">
      <c r="A22" s="95" t="s">
        <v>491</v>
      </c>
      <c r="B22" s="25"/>
      <c r="C22" s="25"/>
      <c r="D22" s="25"/>
      <c r="E22" s="25"/>
      <c r="F22" s="25"/>
      <c r="G22" s="25"/>
      <c r="H22" s="25"/>
      <c r="I22" s="25"/>
      <c r="J22" s="26"/>
    </row>
    <row r="23" spans="1:10" ht="24" customHeight="1" x14ac:dyDescent="0.25">
      <c r="A23" s="3" t="s">
        <v>495</v>
      </c>
    </row>
    <row r="24" spans="1:10" ht="24" customHeight="1" x14ac:dyDescent="0.25">
      <c r="A24" s="3" t="s">
        <v>494</v>
      </c>
    </row>
  </sheetData>
  <mergeCells count="4">
    <mergeCell ref="A2:J2"/>
    <mergeCell ref="A3:J3"/>
    <mergeCell ref="A4:J4"/>
    <mergeCell ref="I21:J21"/>
  </mergeCells>
  <phoneticPr fontId="3" type="noConversion"/>
  <printOptions horizontalCentered="1"/>
  <pageMargins left="0.74803149606299213" right="0.74803149606299213" top="1.03" bottom="0.69" header="0.45" footer="0.27"/>
  <pageSetup paperSize="9" scale="94" orientation="landscape" horizontalDpi="200" verticalDpi="200" r:id="rId1"/>
  <headerFooter alignWithMargins="0"/>
  <rowBreaks count="1" manualBreakCount="1">
    <brk id="21" max="9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4"/>
  <sheetViews>
    <sheetView zoomScale="80" zoomScaleNormal="80" zoomScaleSheetLayoutView="90" workbookViewId="0">
      <selection activeCell="A6" sqref="A6:J23"/>
    </sheetView>
  </sheetViews>
  <sheetFormatPr defaultRowHeight="22.7" customHeight="1" x14ac:dyDescent="0.25"/>
  <cols>
    <col min="1" max="1" width="18.42578125" style="3" customWidth="1"/>
    <col min="2" max="2" width="14.7109375" style="3" customWidth="1"/>
    <col min="3" max="3" width="14.28515625" style="3" customWidth="1"/>
    <col min="4" max="4" width="16.42578125" style="3" customWidth="1"/>
    <col min="5" max="5" width="15.42578125" style="3" customWidth="1"/>
    <col min="6" max="6" width="14.85546875" style="3" customWidth="1"/>
    <col min="7" max="7" width="14.28515625" style="3" customWidth="1"/>
    <col min="8" max="8" width="14.7109375" style="3" customWidth="1"/>
    <col min="9" max="9" width="19.85546875" style="3" customWidth="1"/>
    <col min="10" max="10" width="21.42578125" style="3" customWidth="1"/>
    <col min="11" max="11" width="9" style="3"/>
    <col min="12" max="12" width="11" style="3" bestFit="1" customWidth="1"/>
    <col min="13" max="256" width="9" style="3"/>
    <col min="257" max="257" width="18.42578125" style="3" customWidth="1"/>
    <col min="258" max="258" width="14.7109375" style="3" customWidth="1"/>
    <col min="259" max="259" width="14.28515625" style="3" customWidth="1"/>
    <col min="260" max="260" width="16.42578125" style="3" customWidth="1"/>
    <col min="261" max="261" width="15.42578125" style="3" customWidth="1"/>
    <col min="262" max="262" width="14.85546875" style="3" customWidth="1"/>
    <col min="263" max="263" width="14.28515625" style="3" customWidth="1"/>
    <col min="264" max="264" width="14.7109375" style="3" customWidth="1"/>
    <col min="265" max="265" width="19.85546875" style="3" customWidth="1"/>
    <col min="266" max="266" width="21.42578125" style="3" customWidth="1"/>
    <col min="267" max="267" width="9" style="3"/>
    <col min="268" max="268" width="11" style="3" bestFit="1" customWidth="1"/>
    <col min="269" max="512" width="9" style="3"/>
    <col min="513" max="513" width="18.42578125" style="3" customWidth="1"/>
    <col min="514" max="514" width="14.7109375" style="3" customWidth="1"/>
    <col min="515" max="515" width="14.28515625" style="3" customWidth="1"/>
    <col min="516" max="516" width="16.42578125" style="3" customWidth="1"/>
    <col min="517" max="517" width="15.42578125" style="3" customWidth="1"/>
    <col min="518" max="518" width="14.85546875" style="3" customWidth="1"/>
    <col min="519" max="519" width="14.28515625" style="3" customWidth="1"/>
    <col min="520" max="520" width="14.7109375" style="3" customWidth="1"/>
    <col min="521" max="521" width="19.85546875" style="3" customWidth="1"/>
    <col min="522" max="522" width="21.42578125" style="3" customWidth="1"/>
    <col min="523" max="523" width="9" style="3"/>
    <col min="524" max="524" width="11" style="3" bestFit="1" customWidth="1"/>
    <col min="525" max="768" width="9" style="3"/>
    <col min="769" max="769" width="18.42578125" style="3" customWidth="1"/>
    <col min="770" max="770" width="14.7109375" style="3" customWidth="1"/>
    <col min="771" max="771" width="14.28515625" style="3" customWidth="1"/>
    <col min="772" max="772" width="16.42578125" style="3" customWidth="1"/>
    <col min="773" max="773" width="15.42578125" style="3" customWidth="1"/>
    <col min="774" max="774" width="14.85546875" style="3" customWidth="1"/>
    <col min="775" max="775" width="14.28515625" style="3" customWidth="1"/>
    <col min="776" max="776" width="14.7109375" style="3" customWidth="1"/>
    <col min="777" max="777" width="19.85546875" style="3" customWidth="1"/>
    <col min="778" max="778" width="21.42578125" style="3" customWidth="1"/>
    <col min="779" max="779" width="9" style="3"/>
    <col min="780" max="780" width="11" style="3" bestFit="1" customWidth="1"/>
    <col min="781" max="1024" width="9" style="3"/>
    <col min="1025" max="1025" width="18.42578125" style="3" customWidth="1"/>
    <col min="1026" max="1026" width="14.7109375" style="3" customWidth="1"/>
    <col min="1027" max="1027" width="14.28515625" style="3" customWidth="1"/>
    <col min="1028" max="1028" width="16.42578125" style="3" customWidth="1"/>
    <col min="1029" max="1029" width="15.42578125" style="3" customWidth="1"/>
    <col min="1030" max="1030" width="14.85546875" style="3" customWidth="1"/>
    <col min="1031" max="1031" width="14.28515625" style="3" customWidth="1"/>
    <col min="1032" max="1032" width="14.7109375" style="3" customWidth="1"/>
    <col min="1033" max="1033" width="19.85546875" style="3" customWidth="1"/>
    <col min="1034" max="1034" width="21.42578125" style="3" customWidth="1"/>
    <col min="1035" max="1035" width="9" style="3"/>
    <col min="1036" max="1036" width="11" style="3" bestFit="1" customWidth="1"/>
    <col min="1037" max="1280" width="9" style="3"/>
    <col min="1281" max="1281" width="18.42578125" style="3" customWidth="1"/>
    <col min="1282" max="1282" width="14.7109375" style="3" customWidth="1"/>
    <col min="1283" max="1283" width="14.28515625" style="3" customWidth="1"/>
    <col min="1284" max="1284" width="16.42578125" style="3" customWidth="1"/>
    <col min="1285" max="1285" width="15.42578125" style="3" customWidth="1"/>
    <col min="1286" max="1286" width="14.85546875" style="3" customWidth="1"/>
    <col min="1287" max="1287" width="14.28515625" style="3" customWidth="1"/>
    <col min="1288" max="1288" width="14.7109375" style="3" customWidth="1"/>
    <col min="1289" max="1289" width="19.85546875" style="3" customWidth="1"/>
    <col min="1290" max="1290" width="21.42578125" style="3" customWidth="1"/>
    <col min="1291" max="1291" width="9" style="3"/>
    <col min="1292" max="1292" width="11" style="3" bestFit="1" customWidth="1"/>
    <col min="1293" max="1536" width="9" style="3"/>
    <col min="1537" max="1537" width="18.42578125" style="3" customWidth="1"/>
    <col min="1538" max="1538" width="14.7109375" style="3" customWidth="1"/>
    <col min="1539" max="1539" width="14.28515625" style="3" customWidth="1"/>
    <col min="1540" max="1540" width="16.42578125" style="3" customWidth="1"/>
    <col min="1541" max="1541" width="15.42578125" style="3" customWidth="1"/>
    <col min="1542" max="1542" width="14.85546875" style="3" customWidth="1"/>
    <col min="1543" max="1543" width="14.28515625" style="3" customWidth="1"/>
    <col min="1544" max="1544" width="14.7109375" style="3" customWidth="1"/>
    <col min="1545" max="1545" width="19.85546875" style="3" customWidth="1"/>
    <col min="1546" max="1546" width="21.42578125" style="3" customWidth="1"/>
    <col min="1547" max="1547" width="9" style="3"/>
    <col min="1548" max="1548" width="11" style="3" bestFit="1" customWidth="1"/>
    <col min="1549" max="1792" width="9" style="3"/>
    <col min="1793" max="1793" width="18.42578125" style="3" customWidth="1"/>
    <col min="1794" max="1794" width="14.7109375" style="3" customWidth="1"/>
    <col min="1795" max="1795" width="14.28515625" style="3" customWidth="1"/>
    <col min="1796" max="1796" width="16.42578125" style="3" customWidth="1"/>
    <col min="1797" max="1797" width="15.42578125" style="3" customWidth="1"/>
    <col min="1798" max="1798" width="14.85546875" style="3" customWidth="1"/>
    <col min="1799" max="1799" width="14.28515625" style="3" customWidth="1"/>
    <col min="1800" max="1800" width="14.7109375" style="3" customWidth="1"/>
    <col min="1801" max="1801" width="19.85546875" style="3" customWidth="1"/>
    <col min="1802" max="1802" width="21.42578125" style="3" customWidth="1"/>
    <col min="1803" max="1803" width="9" style="3"/>
    <col min="1804" max="1804" width="11" style="3" bestFit="1" customWidth="1"/>
    <col min="1805" max="2048" width="9" style="3"/>
    <col min="2049" max="2049" width="18.42578125" style="3" customWidth="1"/>
    <col min="2050" max="2050" width="14.7109375" style="3" customWidth="1"/>
    <col min="2051" max="2051" width="14.28515625" style="3" customWidth="1"/>
    <col min="2052" max="2052" width="16.42578125" style="3" customWidth="1"/>
    <col min="2053" max="2053" width="15.42578125" style="3" customWidth="1"/>
    <col min="2054" max="2054" width="14.85546875" style="3" customWidth="1"/>
    <col min="2055" max="2055" width="14.28515625" style="3" customWidth="1"/>
    <col min="2056" max="2056" width="14.7109375" style="3" customWidth="1"/>
    <col min="2057" max="2057" width="19.85546875" style="3" customWidth="1"/>
    <col min="2058" max="2058" width="21.42578125" style="3" customWidth="1"/>
    <col min="2059" max="2059" width="9" style="3"/>
    <col min="2060" max="2060" width="11" style="3" bestFit="1" customWidth="1"/>
    <col min="2061" max="2304" width="9" style="3"/>
    <col min="2305" max="2305" width="18.42578125" style="3" customWidth="1"/>
    <col min="2306" max="2306" width="14.7109375" style="3" customWidth="1"/>
    <col min="2307" max="2307" width="14.28515625" style="3" customWidth="1"/>
    <col min="2308" max="2308" width="16.42578125" style="3" customWidth="1"/>
    <col min="2309" max="2309" width="15.42578125" style="3" customWidth="1"/>
    <col min="2310" max="2310" width="14.85546875" style="3" customWidth="1"/>
    <col min="2311" max="2311" width="14.28515625" style="3" customWidth="1"/>
    <col min="2312" max="2312" width="14.7109375" style="3" customWidth="1"/>
    <col min="2313" max="2313" width="19.85546875" style="3" customWidth="1"/>
    <col min="2314" max="2314" width="21.42578125" style="3" customWidth="1"/>
    <col min="2315" max="2315" width="9" style="3"/>
    <col min="2316" max="2316" width="11" style="3" bestFit="1" customWidth="1"/>
    <col min="2317" max="2560" width="9" style="3"/>
    <col min="2561" max="2561" width="18.42578125" style="3" customWidth="1"/>
    <col min="2562" max="2562" width="14.7109375" style="3" customWidth="1"/>
    <col min="2563" max="2563" width="14.28515625" style="3" customWidth="1"/>
    <col min="2564" max="2564" width="16.42578125" style="3" customWidth="1"/>
    <col min="2565" max="2565" width="15.42578125" style="3" customWidth="1"/>
    <col min="2566" max="2566" width="14.85546875" style="3" customWidth="1"/>
    <col min="2567" max="2567" width="14.28515625" style="3" customWidth="1"/>
    <col min="2568" max="2568" width="14.7109375" style="3" customWidth="1"/>
    <col min="2569" max="2569" width="19.85546875" style="3" customWidth="1"/>
    <col min="2570" max="2570" width="21.42578125" style="3" customWidth="1"/>
    <col min="2571" max="2571" width="9" style="3"/>
    <col min="2572" max="2572" width="11" style="3" bestFit="1" customWidth="1"/>
    <col min="2573" max="2816" width="9" style="3"/>
    <col min="2817" max="2817" width="18.42578125" style="3" customWidth="1"/>
    <col min="2818" max="2818" width="14.7109375" style="3" customWidth="1"/>
    <col min="2819" max="2819" width="14.28515625" style="3" customWidth="1"/>
    <col min="2820" max="2820" width="16.42578125" style="3" customWidth="1"/>
    <col min="2821" max="2821" width="15.42578125" style="3" customWidth="1"/>
    <col min="2822" max="2822" width="14.85546875" style="3" customWidth="1"/>
    <col min="2823" max="2823" width="14.28515625" style="3" customWidth="1"/>
    <col min="2824" max="2824" width="14.7109375" style="3" customWidth="1"/>
    <col min="2825" max="2825" width="19.85546875" style="3" customWidth="1"/>
    <col min="2826" max="2826" width="21.42578125" style="3" customWidth="1"/>
    <col min="2827" max="2827" width="9" style="3"/>
    <col min="2828" max="2828" width="11" style="3" bestFit="1" customWidth="1"/>
    <col min="2829" max="3072" width="9" style="3"/>
    <col min="3073" max="3073" width="18.42578125" style="3" customWidth="1"/>
    <col min="3074" max="3074" width="14.7109375" style="3" customWidth="1"/>
    <col min="3075" max="3075" width="14.28515625" style="3" customWidth="1"/>
    <col min="3076" max="3076" width="16.42578125" style="3" customWidth="1"/>
    <col min="3077" max="3077" width="15.42578125" style="3" customWidth="1"/>
    <col min="3078" max="3078" width="14.85546875" style="3" customWidth="1"/>
    <col min="3079" max="3079" width="14.28515625" style="3" customWidth="1"/>
    <col min="3080" max="3080" width="14.7109375" style="3" customWidth="1"/>
    <col min="3081" max="3081" width="19.85546875" style="3" customWidth="1"/>
    <col min="3082" max="3082" width="21.42578125" style="3" customWidth="1"/>
    <col min="3083" max="3083" width="9" style="3"/>
    <col min="3084" max="3084" width="11" style="3" bestFit="1" customWidth="1"/>
    <col min="3085" max="3328" width="9" style="3"/>
    <col min="3329" max="3329" width="18.42578125" style="3" customWidth="1"/>
    <col min="3330" max="3330" width="14.7109375" style="3" customWidth="1"/>
    <col min="3331" max="3331" width="14.28515625" style="3" customWidth="1"/>
    <col min="3332" max="3332" width="16.42578125" style="3" customWidth="1"/>
    <col min="3333" max="3333" width="15.42578125" style="3" customWidth="1"/>
    <col min="3334" max="3334" width="14.85546875" style="3" customWidth="1"/>
    <col min="3335" max="3335" width="14.28515625" style="3" customWidth="1"/>
    <col min="3336" max="3336" width="14.7109375" style="3" customWidth="1"/>
    <col min="3337" max="3337" width="19.85546875" style="3" customWidth="1"/>
    <col min="3338" max="3338" width="21.42578125" style="3" customWidth="1"/>
    <col min="3339" max="3339" width="9" style="3"/>
    <col min="3340" max="3340" width="11" style="3" bestFit="1" customWidth="1"/>
    <col min="3341" max="3584" width="9" style="3"/>
    <col min="3585" max="3585" width="18.42578125" style="3" customWidth="1"/>
    <col min="3586" max="3586" width="14.7109375" style="3" customWidth="1"/>
    <col min="3587" max="3587" width="14.28515625" style="3" customWidth="1"/>
    <col min="3588" max="3588" width="16.42578125" style="3" customWidth="1"/>
    <col min="3589" max="3589" width="15.42578125" style="3" customWidth="1"/>
    <col min="3590" max="3590" width="14.85546875" style="3" customWidth="1"/>
    <col min="3591" max="3591" width="14.28515625" style="3" customWidth="1"/>
    <col min="3592" max="3592" width="14.7109375" style="3" customWidth="1"/>
    <col min="3593" max="3593" width="19.85546875" style="3" customWidth="1"/>
    <col min="3594" max="3594" width="21.42578125" style="3" customWidth="1"/>
    <col min="3595" max="3595" width="9" style="3"/>
    <col min="3596" max="3596" width="11" style="3" bestFit="1" customWidth="1"/>
    <col min="3597" max="3840" width="9" style="3"/>
    <col min="3841" max="3841" width="18.42578125" style="3" customWidth="1"/>
    <col min="3842" max="3842" width="14.7109375" style="3" customWidth="1"/>
    <col min="3843" max="3843" width="14.28515625" style="3" customWidth="1"/>
    <col min="3844" max="3844" width="16.42578125" style="3" customWidth="1"/>
    <col min="3845" max="3845" width="15.42578125" style="3" customWidth="1"/>
    <col min="3846" max="3846" width="14.85546875" style="3" customWidth="1"/>
    <col min="3847" max="3847" width="14.28515625" style="3" customWidth="1"/>
    <col min="3848" max="3848" width="14.7109375" style="3" customWidth="1"/>
    <col min="3849" max="3849" width="19.85546875" style="3" customWidth="1"/>
    <col min="3850" max="3850" width="21.42578125" style="3" customWidth="1"/>
    <col min="3851" max="3851" width="9" style="3"/>
    <col min="3852" max="3852" width="11" style="3" bestFit="1" customWidth="1"/>
    <col min="3853" max="4096" width="9" style="3"/>
    <col min="4097" max="4097" width="18.42578125" style="3" customWidth="1"/>
    <col min="4098" max="4098" width="14.7109375" style="3" customWidth="1"/>
    <col min="4099" max="4099" width="14.28515625" style="3" customWidth="1"/>
    <col min="4100" max="4100" width="16.42578125" style="3" customWidth="1"/>
    <col min="4101" max="4101" width="15.42578125" style="3" customWidth="1"/>
    <col min="4102" max="4102" width="14.85546875" style="3" customWidth="1"/>
    <col min="4103" max="4103" width="14.28515625" style="3" customWidth="1"/>
    <col min="4104" max="4104" width="14.7109375" style="3" customWidth="1"/>
    <col min="4105" max="4105" width="19.85546875" style="3" customWidth="1"/>
    <col min="4106" max="4106" width="21.42578125" style="3" customWidth="1"/>
    <col min="4107" max="4107" width="9" style="3"/>
    <col min="4108" max="4108" width="11" style="3" bestFit="1" customWidth="1"/>
    <col min="4109" max="4352" width="9" style="3"/>
    <col min="4353" max="4353" width="18.42578125" style="3" customWidth="1"/>
    <col min="4354" max="4354" width="14.7109375" style="3" customWidth="1"/>
    <col min="4355" max="4355" width="14.28515625" style="3" customWidth="1"/>
    <col min="4356" max="4356" width="16.42578125" style="3" customWidth="1"/>
    <col min="4357" max="4357" width="15.42578125" style="3" customWidth="1"/>
    <col min="4358" max="4358" width="14.85546875" style="3" customWidth="1"/>
    <col min="4359" max="4359" width="14.28515625" style="3" customWidth="1"/>
    <col min="4360" max="4360" width="14.7109375" style="3" customWidth="1"/>
    <col min="4361" max="4361" width="19.85546875" style="3" customWidth="1"/>
    <col min="4362" max="4362" width="21.42578125" style="3" customWidth="1"/>
    <col min="4363" max="4363" width="9" style="3"/>
    <col min="4364" max="4364" width="11" style="3" bestFit="1" customWidth="1"/>
    <col min="4365" max="4608" width="9" style="3"/>
    <col min="4609" max="4609" width="18.42578125" style="3" customWidth="1"/>
    <col min="4610" max="4610" width="14.7109375" style="3" customWidth="1"/>
    <col min="4611" max="4611" width="14.28515625" style="3" customWidth="1"/>
    <col min="4612" max="4612" width="16.42578125" style="3" customWidth="1"/>
    <col min="4613" max="4613" width="15.42578125" style="3" customWidth="1"/>
    <col min="4614" max="4614" width="14.85546875" style="3" customWidth="1"/>
    <col min="4615" max="4615" width="14.28515625" style="3" customWidth="1"/>
    <col min="4616" max="4616" width="14.7109375" style="3" customWidth="1"/>
    <col min="4617" max="4617" width="19.85546875" style="3" customWidth="1"/>
    <col min="4618" max="4618" width="21.42578125" style="3" customWidth="1"/>
    <col min="4619" max="4619" width="9" style="3"/>
    <col min="4620" max="4620" width="11" style="3" bestFit="1" customWidth="1"/>
    <col min="4621" max="4864" width="9" style="3"/>
    <col min="4865" max="4865" width="18.42578125" style="3" customWidth="1"/>
    <col min="4866" max="4866" width="14.7109375" style="3" customWidth="1"/>
    <col min="4867" max="4867" width="14.28515625" style="3" customWidth="1"/>
    <col min="4868" max="4868" width="16.42578125" style="3" customWidth="1"/>
    <col min="4869" max="4869" width="15.42578125" style="3" customWidth="1"/>
    <col min="4870" max="4870" width="14.85546875" style="3" customWidth="1"/>
    <col min="4871" max="4871" width="14.28515625" style="3" customWidth="1"/>
    <col min="4872" max="4872" width="14.7109375" style="3" customWidth="1"/>
    <col min="4873" max="4873" width="19.85546875" style="3" customWidth="1"/>
    <col min="4874" max="4874" width="21.42578125" style="3" customWidth="1"/>
    <col min="4875" max="4875" width="9" style="3"/>
    <col min="4876" max="4876" width="11" style="3" bestFit="1" customWidth="1"/>
    <col min="4877" max="5120" width="9" style="3"/>
    <col min="5121" max="5121" width="18.42578125" style="3" customWidth="1"/>
    <col min="5122" max="5122" width="14.7109375" style="3" customWidth="1"/>
    <col min="5123" max="5123" width="14.28515625" style="3" customWidth="1"/>
    <col min="5124" max="5124" width="16.42578125" style="3" customWidth="1"/>
    <col min="5125" max="5125" width="15.42578125" style="3" customWidth="1"/>
    <col min="5126" max="5126" width="14.85546875" style="3" customWidth="1"/>
    <col min="5127" max="5127" width="14.28515625" style="3" customWidth="1"/>
    <col min="5128" max="5128" width="14.7109375" style="3" customWidth="1"/>
    <col min="5129" max="5129" width="19.85546875" style="3" customWidth="1"/>
    <col min="5130" max="5130" width="21.42578125" style="3" customWidth="1"/>
    <col min="5131" max="5131" width="9" style="3"/>
    <col min="5132" max="5132" width="11" style="3" bestFit="1" customWidth="1"/>
    <col min="5133" max="5376" width="9" style="3"/>
    <col min="5377" max="5377" width="18.42578125" style="3" customWidth="1"/>
    <col min="5378" max="5378" width="14.7109375" style="3" customWidth="1"/>
    <col min="5379" max="5379" width="14.28515625" style="3" customWidth="1"/>
    <col min="5380" max="5380" width="16.42578125" style="3" customWidth="1"/>
    <col min="5381" max="5381" width="15.42578125" style="3" customWidth="1"/>
    <col min="5382" max="5382" width="14.85546875" style="3" customWidth="1"/>
    <col min="5383" max="5383" width="14.28515625" style="3" customWidth="1"/>
    <col min="5384" max="5384" width="14.7109375" style="3" customWidth="1"/>
    <col min="5385" max="5385" width="19.85546875" style="3" customWidth="1"/>
    <col min="5386" max="5386" width="21.42578125" style="3" customWidth="1"/>
    <col min="5387" max="5387" width="9" style="3"/>
    <col min="5388" max="5388" width="11" style="3" bestFit="1" customWidth="1"/>
    <col min="5389" max="5632" width="9" style="3"/>
    <col min="5633" max="5633" width="18.42578125" style="3" customWidth="1"/>
    <col min="5634" max="5634" width="14.7109375" style="3" customWidth="1"/>
    <col min="5635" max="5635" width="14.28515625" style="3" customWidth="1"/>
    <col min="5636" max="5636" width="16.42578125" style="3" customWidth="1"/>
    <col min="5637" max="5637" width="15.42578125" style="3" customWidth="1"/>
    <col min="5638" max="5638" width="14.85546875" style="3" customWidth="1"/>
    <col min="5639" max="5639" width="14.28515625" style="3" customWidth="1"/>
    <col min="5640" max="5640" width="14.7109375" style="3" customWidth="1"/>
    <col min="5641" max="5641" width="19.85546875" style="3" customWidth="1"/>
    <col min="5642" max="5642" width="21.42578125" style="3" customWidth="1"/>
    <col min="5643" max="5643" width="9" style="3"/>
    <col min="5644" max="5644" width="11" style="3" bestFit="1" customWidth="1"/>
    <col min="5645" max="5888" width="9" style="3"/>
    <col min="5889" max="5889" width="18.42578125" style="3" customWidth="1"/>
    <col min="5890" max="5890" width="14.7109375" style="3" customWidth="1"/>
    <col min="5891" max="5891" width="14.28515625" style="3" customWidth="1"/>
    <col min="5892" max="5892" width="16.42578125" style="3" customWidth="1"/>
    <col min="5893" max="5893" width="15.42578125" style="3" customWidth="1"/>
    <col min="5894" max="5894" width="14.85546875" style="3" customWidth="1"/>
    <col min="5895" max="5895" width="14.28515625" style="3" customWidth="1"/>
    <col min="5896" max="5896" width="14.7109375" style="3" customWidth="1"/>
    <col min="5897" max="5897" width="19.85546875" style="3" customWidth="1"/>
    <col min="5898" max="5898" width="21.42578125" style="3" customWidth="1"/>
    <col min="5899" max="5899" width="9" style="3"/>
    <col min="5900" max="5900" width="11" style="3" bestFit="1" customWidth="1"/>
    <col min="5901" max="6144" width="9" style="3"/>
    <col min="6145" max="6145" width="18.42578125" style="3" customWidth="1"/>
    <col min="6146" max="6146" width="14.7109375" style="3" customWidth="1"/>
    <col min="6147" max="6147" width="14.28515625" style="3" customWidth="1"/>
    <col min="6148" max="6148" width="16.42578125" style="3" customWidth="1"/>
    <col min="6149" max="6149" width="15.42578125" style="3" customWidth="1"/>
    <col min="6150" max="6150" width="14.85546875" style="3" customWidth="1"/>
    <col min="6151" max="6151" width="14.28515625" style="3" customWidth="1"/>
    <col min="6152" max="6152" width="14.7109375" style="3" customWidth="1"/>
    <col min="6153" max="6153" width="19.85546875" style="3" customWidth="1"/>
    <col min="6154" max="6154" width="21.42578125" style="3" customWidth="1"/>
    <col min="6155" max="6155" width="9" style="3"/>
    <col min="6156" max="6156" width="11" style="3" bestFit="1" customWidth="1"/>
    <col min="6157" max="6400" width="9" style="3"/>
    <col min="6401" max="6401" width="18.42578125" style="3" customWidth="1"/>
    <col min="6402" max="6402" width="14.7109375" style="3" customWidth="1"/>
    <col min="6403" max="6403" width="14.28515625" style="3" customWidth="1"/>
    <col min="6404" max="6404" width="16.42578125" style="3" customWidth="1"/>
    <col min="6405" max="6405" width="15.42578125" style="3" customWidth="1"/>
    <col min="6406" max="6406" width="14.85546875" style="3" customWidth="1"/>
    <col min="6407" max="6407" width="14.28515625" style="3" customWidth="1"/>
    <col min="6408" max="6408" width="14.7109375" style="3" customWidth="1"/>
    <col min="6409" max="6409" width="19.85546875" style="3" customWidth="1"/>
    <col min="6410" max="6410" width="21.42578125" style="3" customWidth="1"/>
    <col min="6411" max="6411" width="9" style="3"/>
    <col min="6412" max="6412" width="11" style="3" bestFit="1" customWidth="1"/>
    <col min="6413" max="6656" width="9" style="3"/>
    <col min="6657" max="6657" width="18.42578125" style="3" customWidth="1"/>
    <col min="6658" max="6658" width="14.7109375" style="3" customWidth="1"/>
    <col min="6659" max="6659" width="14.28515625" style="3" customWidth="1"/>
    <col min="6660" max="6660" width="16.42578125" style="3" customWidth="1"/>
    <col min="6661" max="6661" width="15.42578125" style="3" customWidth="1"/>
    <col min="6662" max="6662" width="14.85546875" style="3" customWidth="1"/>
    <col min="6663" max="6663" width="14.28515625" style="3" customWidth="1"/>
    <col min="6664" max="6664" width="14.7109375" style="3" customWidth="1"/>
    <col min="6665" max="6665" width="19.85546875" style="3" customWidth="1"/>
    <col min="6666" max="6666" width="21.42578125" style="3" customWidth="1"/>
    <col min="6667" max="6667" width="9" style="3"/>
    <col min="6668" max="6668" width="11" style="3" bestFit="1" customWidth="1"/>
    <col min="6669" max="6912" width="9" style="3"/>
    <col min="6913" max="6913" width="18.42578125" style="3" customWidth="1"/>
    <col min="6914" max="6914" width="14.7109375" style="3" customWidth="1"/>
    <col min="6915" max="6915" width="14.28515625" style="3" customWidth="1"/>
    <col min="6916" max="6916" width="16.42578125" style="3" customWidth="1"/>
    <col min="6917" max="6917" width="15.42578125" style="3" customWidth="1"/>
    <col min="6918" max="6918" width="14.85546875" style="3" customWidth="1"/>
    <col min="6919" max="6919" width="14.28515625" style="3" customWidth="1"/>
    <col min="6920" max="6920" width="14.7109375" style="3" customWidth="1"/>
    <col min="6921" max="6921" width="19.85546875" style="3" customWidth="1"/>
    <col min="6922" max="6922" width="21.42578125" style="3" customWidth="1"/>
    <col min="6923" max="6923" width="9" style="3"/>
    <col min="6924" max="6924" width="11" style="3" bestFit="1" customWidth="1"/>
    <col min="6925" max="7168" width="9" style="3"/>
    <col min="7169" max="7169" width="18.42578125" style="3" customWidth="1"/>
    <col min="7170" max="7170" width="14.7109375" style="3" customWidth="1"/>
    <col min="7171" max="7171" width="14.28515625" style="3" customWidth="1"/>
    <col min="7172" max="7172" width="16.42578125" style="3" customWidth="1"/>
    <col min="7173" max="7173" width="15.42578125" style="3" customWidth="1"/>
    <col min="7174" max="7174" width="14.85546875" style="3" customWidth="1"/>
    <col min="7175" max="7175" width="14.28515625" style="3" customWidth="1"/>
    <col min="7176" max="7176" width="14.7109375" style="3" customWidth="1"/>
    <col min="7177" max="7177" width="19.85546875" style="3" customWidth="1"/>
    <col min="7178" max="7178" width="21.42578125" style="3" customWidth="1"/>
    <col min="7179" max="7179" width="9" style="3"/>
    <col min="7180" max="7180" width="11" style="3" bestFit="1" customWidth="1"/>
    <col min="7181" max="7424" width="9" style="3"/>
    <col min="7425" max="7425" width="18.42578125" style="3" customWidth="1"/>
    <col min="7426" max="7426" width="14.7109375" style="3" customWidth="1"/>
    <col min="7427" max="7427" width="14.28515625" style="3" customWidth="1"/>
    <col min="7428" max="7428" width="16.42578125" style="3" customWidth="1"/>
    <col min="7429" max="7429" width="15.42578125" style="3" customWidth="1"/>
    <col min="7430" max="7430" width="14.85546875" style="3" customWidth="1"/>
    <col min="7431" max="7431" width="14.28515625" style="3" customWidth="1"/>
    <col min="7432" max="7432" width="14.7109375" style="3" customWidth="1"/>
    <col min="7433" max="7433" width="19.85546875" style="3" customWidth="1"/>
    <col min="7434" max="7434" width="21.42578125" style="3" customWidth="1"/>
    <col min="7435" max="7435" width="9" style="3"/>
    <col min="7436" max="7436" width="11" style="3" bestFit="1" customWidth="1"/>
    <col min="7437" max="7680" width="9" style="3"/>
    <col min="7681" max="7681" width="18.42578125" style="3" customWidth="1"/>
    <col min="7682" max="7682" width="14.7109375" style="3" customWidth="1"/>
    <col min="7683" max="7683" width="14.28515625" style="3" customWidth="1"/>
    <col min="7684" max="7684" width="16.42578125" style="3" customWidth="1"/>
    <col min="7685" max="7685" width="15.42578125" style="3" customWidth="1"/>
    <col min="7686" max="7686" width="14.85546875" style="3" customWidth="1"/>
    <col min="7687" max="7687" width="14.28515625" style="3" customWidth="1"/>
    <col min="7688" max="7688" width="14.7109375" style="3" customWidth="1"/>
    <col min="7689" max="7689" width="19.85546875" style="3" customWidth="1"/>
    <col min="7690" max="7690" width="21.42578125" style="3" customWidth="1"/>
    <col min="7691" max="7691" width="9" style="3"/>
    <col min="7692" max="7692" width="11" style="3" bestFit="1" customWidth="1"/>
    <col min="7693" max="7936" width="9" style="3"/>
    <col min="7937" max="7937" width="18.42578125" style="3" customWidth="1"/>
    <col min="7938" max="7938" width="14.7109375" style="3" customWidth="1"/>
    <col min="7939" max="7939" width="14.28515625" style="3" customWidth="1"/>
    <col min="7940" max="7940" width="16.42578125" style="3" customWidth="1"/>
    <col min="7941" max="7941" width="15.42578125" style="3" customWidth="1"/>
    <col min="7942" max="7942" width="14.85546875" style="3" customWidth="1"/>
    <col min="7943" max="7943" width="14.28515625" style="3" customWidth="1"/>
    <col min="7944" max="7944" width="14.7109375" style="3" customWidth="1"/>
    <col min="7945" max="7945" width="19.85546875" style="3" customWidth="1"/>
    <col min="7946" max="7946" width="21.42578125" style="3" customWidth="1"/>
    <col min="7947" max="7947" width="9" style="3"/>
    <col min="7948" max="7948" width="11" style="3" bestFit="1" customWidth="1"/>
    <col min="7949" max="8192" width="9" style="3"/>
    <col min="8193" max="8193" width="18.42578125" style="3" customWidth="1"/>
    <col min="8194" max="8194" width="14.7109375" style="3" customWidth="1"/>
    <col min="8195" max="8195" width="14.28515625" style="3" customWidth="1"/>
    <col min="8196" max="8196" width="16.42578125" style="3" customWidth="1"/>
    <col min="8197" max="8197" width="15.42578125" style="3" customWidth="1"/>
    <col min="8198" max="8198" width="14.85546875" style="3" customWidth="1"/>
    <col min="8199" max="8199" width="14.28515625" style="3" customWidth="1"/>
    <col min="8200" max="8200" width="14.7109375" style="3" customWidth="1"/>
    <col min="8201" max="8201" width="19.85546875" style="3" customWidth="1"/>
    <col min="8202" max="8202" width="21.42578125" style="3" customWidth="1"/>
    <col min="8203" max="8203" width="9" style="3"/>
    <col min="8204" max="8204" width="11" style="3" bestFit="1" customWidth="1"/>
    <col min="8205" max="8448" width="9" style="3"/>
    <col min="8449" max="8449" width="18.42578125" style="3" customWidth="1"/>
    <col min="8450" max="8450" width="14.7109375" style="3" customWidth="1"/>
    <col min="8451" max="8451" width="14.28515625" style="3" customWidth="1"/>
    <col min="8452" max="8452" width="16.42578125" style="3" customWidth="1"/>
    <col min="8453" max="8453" width="15.42578125" style="3" customWidth="1"/>
    <col min="8454" max="8454" width="14.85546875" style="3" customWidth="1"/>
    <col min="8455" max="8455" width="14.28515625" style="3" customWidth="1"/>
    <col min="8456" max="8456" width="14.7109375" style="3" customWidth="1"/>
    <col min="8457" max="8457" width="19.85546875" style="3" customWidth="1"/>
    <col min="8458" max="8458" width="21.42578125" style="3" customWidth="1"/>
    <col min="8459" max="8459" width="9" style="3"/>
    <col min="8460" max="8460" width="11" style="3" bestFit="1" customWidth="1"/>
    <col min="8461" max="8704" width="9" style="3"/>
    <col min="8705" max="8705" width="18.42578125" style="3" customWidth="1"/>
    <col min="8706" max="8706" width="14.7109375" style="3" customWidth="1"/>
    <col min="8707" max="8707" width="14.28515625" style="3" customWidth="1"/>
    <col min="8708" max="8708" width="16.42578125" style="3" customWidth="1"/>
    <col min="8709" max="8709" width="15.42578125" style="3" customWidth="1"/>
    <col min="8710" max="8710" width="14.85546875" style="3" customWidth="1"/>
    <col min="8711" max="8711" width="14.28515625" style="3" customWidth="1"/>
    <col min="8712" max="8712" width="14.7109375" style="3" customWidth="1"/>
    <col min="8713" max="8713" width="19.85546875" style="3" customWidth="1"/>
    <col min="8714" max="8714" width="21.42578125" style="3" customWidth="1"/>
    <col min="8715" max="8715" width="9" style="3"/>
    <col min="8716" max="8716" width="11" style="3" bestFit="1" customWidth="1"/>
    <col min="8717" max="8960" width="9" style="3"/>
    <col min="8961" max="8961" width="18.42578125" style="3" customWidth="1"/>
    <col min="8962" max="8962" width="14.7109375" style="3" customWidth="1"/>
    <col min="8963" max="8963" width="14.28515625" style="3" customWidth="1"/>
    <col min="8964" max="8964" width="16.42578125" style="3" customWidth="1"/>
    <col min="8965" max="8965" width="15.42578125" style="3" customWidth="1"/>
    <col min="8966" max="8966" width="14.85546875" style="3" customWidth="1"/>
    <col min="8967" max="8967" width="14.28515625" style="3" customWidth="1"/>
    <col min="8968" max="8968" width="14.7109375" style="3" customWidth="1"/>
    <col min="8969" max="8969" width="19.85546875" style="3" customWidth="1"/>
    <col min="8970" max="8970" width="21.42578125" style="3" customWidth="1"/>
    <col min="8971" max="8971" width="9" style="3"/>
    <col min="8972" max="8972" width="11" style="3" bestFit="1" customWidth="1"/>
    <col min="8973" max="9216" width="9" style="3"/>
    <col min="9217" max="9217" width="18.42578125" style="3" customWidth="1"/>
    <col min="9218" max="9218" width="14.7109375" style="3" customWidth="1"/>
    <col min="9219" max="9219" width="14.28515625" style="3" customWidth="1"/>
    <col min="9220" max="9220" width="16.42578125" style="3" customWidth="1"/>
    <col min="9221" max="9221" width="15.42578125" style="3" customWidth="1"/>
    <col min="9222" max="9222" width="14.85546875" style="3" customWidth="1"/>
    <col min="9223" max="9223" width="14.28515625" style="3" customWidth="1"/>
    <col min="9224" max="9224" width="14.7109375" style="3" customWidth="1"/>
    <col min="9225" max="9225" width="19.85546875" style="3" customWidth="1"/>
    <col min="9226" max="9226" width="21.42578125" style="3" customWidth="1"/>
    <col min="9227" max="9227" width="9" style="3"/>
    <col min="9228" max="9228" width="11" style="3" bestFit="1" customWidth="1"/>
    <col min="9229" max="9472" width="9" style="3"/>
    <col min="9473" max="9473" width="18.42578125" style="3" customWidth="1"/>
    <col min="9474" max="9474" width="14.7109375" style="3" customWidth="1"/>
    <col min="9475" max="9475" width="14.28515625" style="3" customWidth="1"/>
    <col min="9476" max="9476" width="16.42578125" style="3" customWidth="1"/>
    <col min="9477" max="9477" width="15.42578125" style="3" customWidth="1"/>
    <col min="9478" max="9478" width="14.85546875" style="3" customWidth="1"/>
    <col min="9479" max="9479" width="14.28515625" style="3" customWidth="1"/>
    <col min="9480" max="9480" width="14.7109375" style="3" customWidth="1"/>
    <col min="9481" max="9481" width="19.85546875" style="3" customWidth="1"/>
    <col min="9482" max="9482" width="21.42578125" style="3" customWidth="1"/>
    <col min="9483" max="9483" width="9" style="3"/>
    <col min="9484" max="9484" width="11" style="3" bestFit="1" customWidth="1"/>
    <col min="9485" max="9728" width="9" style="3"/>
    <col min="9729" max="9729" width="18.42578125" style="3" customWidth="1"/>
    <col min="9730" max="9730" width="14.7109375" style="3" customWidth="1"/>
    <col min="9731" max="9731" width="14.28515625" style="3" customWidth="1"/>
    <col min="9732" max="9732" width="16.42578125" style="3" customWidth="1"/>
    <col min="9733" max="9733" width="15.42578125" style="3" customWidth="1"/>
    <col min="9734" max="9734" width="14.85546875" style="3" customWidth="1"/>
    <col min="9735" max="9735" width="14.28515625" style="3" customWidth="1"/>
    <col min="9736" max="9736" width="14.7109375" style="3" customWidth="1"/>
    <col min="9737" max="9737" width="19.85546875" style="3" customWidth="1"/>
    <col min="9738" max="9738" width="21.42578125" style="3" customWidth="1"/>
    <col min="9739" max="9739" width="9" style="3"/>
    <col min="9740" max="9740" width="11" style="3" bestFit="1" customWidth="1"/>
    <col min="9741" max="9984" width="9" style="3"/>
    <col min="9985" max="9985" width="18.42578125" style="3" customWidth="1"/>
    <col min="9986" max="9986" width="14.7109375" style="3" customWidth="1"/>
    <col min="9987" max="9987" width="14.28515625" style="3" customWidth="1"/>
    <col min="9988" max="9988" width="16.42578125" style="3" customWidth="1"/>
    <col min="9989" max="9989" width="15.42578125" style="3" customWidth="1"/>
    <col min="9990" max="9990" width="14.85546875" style="3" customWidth="1"/>
    <col min="9991" max="9991" width="14.28515625" style="3" customWidth="1"/>
    <col min="9992" max="9992" width="14.7109375" style="3" customWidth="1"/>
    <col min="9993" max="9993" width="19.85546875" style="3" customWidth="1"/>
    <col min="9994" max="9994" width="21.42578125" style="3" customWidth="1"/>
    <col min="9995" max="9995" width="9" style="3"/>
    <col min="9996" max="9996" width="11" style="3" bestFit="1" customWidth="1"/>
    <col min="9997" max="10240" width="9" style="3"/>
    <col min="10241" max="10241" width="18.42578125" style="3" customWidth="1"/>
    <col min="10242" max="10242" width="14.7109375" style="3" customWidth="1"/>
    <col min="10243" max="10243" width="14.28515625" style="3" customWidth="1"/>
    <col min="10244" max="10244" width="16.42578125" style="3" customWidth="1"/>
    <col min="10245" max="10245" width="15.42578125" style="3" customWidth="1"/>
    <col min="10246" max="10246" width="14.85546875" style="3" customWidth="1"/>
    <col min="10247" max="10247" width="14.28515625" style="3" customWidth="1"/>
    <col min="10248" max="10248" width="14.7109375" style="3" customWidth="1"/>
    <col min="10249" max="10249" width="19.85546875" style="3" customWidth="1"/>
    <col min="10250" max="10250" width="21.42578125" style="3" customWidth="1"/>
    <col min="10251" max="10251" width="9" style="3"/>
    <col min="10252" max="10252" width="11" style="3" bestFit="1" customWidth="1"/>
    <col min="10253" max="10496" width="9" style="3"/>
    <col min="10497" max="10497" width="18.42578125" style="3" customWidth="1"/>
    <col min="10498" max="10498" width="14.7109375" style="3" customWidth="1"/>
    <col min="10499" max="10499" width="14.28515625" style="3" customWidth="1"/>
    <col min="10500" max="10500" width="16.42578125" style="3" customWidth="1"/>
    <col min="10501" max="10501" width="15.42578125" style="3" customWidth="1"/>
    <col min="10502" max="10502" width="14.85546875" style="3" customWidth="1"/>
    <col min="10503" max="10503" width="14.28515625" style="3" customWidth="1"/>
    <col min="10504" max="10504" width="14.7109375" style="3" customWidth="1"/>
    <col min="10505" max="10505" width="19.85546875" style="3" customWidth="1"/>
    <col min="10506" max="10506" width="21.42578125" style="3" customWidth="1"/>
    <col min="10507" max="10507" width="9" style="3"/>
    <col min="10508" max="10508" width="11" style="3" bestFit="1" customWidth="1"/>
    <col min="10509" max="10752" width="9" style="3"/>
    <col min="10753" max="10753" width="18.42578125" style="3" customWidth="1"/>
    <col min="10754" max="10754" width="14.7109375" style="3" customWidth="1"/>
    <col min="10755" max="10755" width="14.28515625" style="3" customWidth="1"/>
    <col min="10756" max="10756" width="16.42578125" style="3" customWidth="1"/>
    <col min="10757" max="10757" width="15.42578125" style="3" customWidth="1"/>
    <col min="10758" max="10758" width="14.85546875" style="3" customWidth="1"/>
    <col min="10759" max="10759" width="14.28515625" style="3" customWidth="1"/>
    <col min="10760" max="10760" width="14.7109375" style="3" customWidth="1"/>
    <col min="10761" max="10761" width="19.85546875" style="3" customWidth="1"/>
    <col min="10762" max="10762" width="21.42578125" style="3" customWidth="1"/>
    <col min="10763" max="10763" width="9" style="3"/>
    <col min="10764" max="10764" width="11" style="3" bestFit="1" customWidth="1"/>
    <col min="10765" max="11008" width="9" style="3"/>
    <col min="11009" max="11009" width="18.42578125" style="3" customWidth="1"/>
    <col min="11010" max="11010" width="14.7109375" style="3" customWidth="1"/>
    <col min="11011" max="11011" width="14.28515625" style="3" customWidth="1"/>
    <col min="11012" max="11012" width="16.42578125" style="3" customWidth="1"/>
    <col min="11013" max="11013" width="15.42578125" style="3" customWidth="1"/>
    <col min="11014" max="11014" width="14.85546875" style="3" customWidth="1"/>
    <col min="11015" max="11015" width="14.28515625" style="3" customWidth="1"/>
    <col min="11016" max="11016" width="14.7109375" style="3" customWidth="1"/>
    <col min="11017" max="11017" width="19.85546875" style="3" customWidth="1"/>
    <col min="11018" max="11018" width="21.42578125" style="3" customWidth="1"/>
    <col min="11019" max="11019" width="9" style="3"/>
    <col min="11020" max="11020" width="11" style="3" bestFit="1" customWidth="1"/>
    <col min="11021" max="11264" width="9" style="3"/>
    <col min="11265" max="11265" width="18.42578125" style="3" customWidth="1"/>
    <col min="11266" max="11266" width="14.7109375" style="3" customWidth="1"/>
    <col min="11267" max="11267" width="14.28515625" style="3" customWidth="1"/>
    <col min="11268" max="11268" width="16.42578125" style="3" customWidth="1"/>
    <col min="11269" max="11269" width="15.42578125" style="3" customWidth="1"/>
    <col min="11270" max="11270" width="14.85546875" style="3" customWidth="1"/>
    <col min="11271" max="11271" width="14.28515625" style="3" customWidth="1"/>
    <col min="11272" max="11272" width="14.7109375" style="3" customWidth="1"/>
    <col min="11273" max="11273" width="19.85546875" style="3" customWidth="1"/>
    <col min="11274" max="11274" width="21.42578125" style="3" customWidth="1"/>
    <col min="11275" max="11275" width="9" style="3"/>
    <col min="11276" max="11276" width="11" style="3" bestFit="1" customWidth="1"/>
    <col min="11277" max="11520" width="9" style="3"/>
    <col min="11521" max="11521" width="18.42578125" style="3" customWidth="1"/>
    <col min="11522" max="11522" width="14.7109375" style="3" customWidth="1"/>
    <col min="11523" max="11523" width="14.28515625" style="3" customWidth="1"/>
    <col min="11524" max="11524" width="16.42578125" style="3" customWidth="1"/>
    <col min="11525" max="11525" width="15.42578125" style="3" customWidth="1"/>
    <col min="11526" max="11526" width="14.85546875" style="3" customWidth="1"/>
    <col min="11527" max="11527" width="14.28515625" style="3" customWidth="1"/>
    <col min="11528" max="11528" width="14.7109375" style="3" customWidth="1"/>
    <col min="11529" max="11529" width="19.85546875" style="3" customWidth="1"/>
    <col min="11530" max="11530" width="21.42578125" style="3" customWidth="1"/>
    <col min="11531" max="11531" width="9" style="3"/>
    <col min="11532" max="11532" width="11" style="3" bestFit="1" customWidth="1"/>
    <col min="11533" max="11776" width="9" style="3"/>
    <col min="11777" max="11777" width="18.42578125" style="3" customWidth="1"/>
    <col min="11778" max="11778" width="14.7109375" style="3" customWidth="1"/>
    <col min="11779" max="11779" width="14.28515625" style="3" customWidth="1"/>
    <col min="11780" max="11780" width="16.42578125" style="3" customWidth="1"/>
    <col min="11781" max="11781" width="15.42578125" style="3" customWidth="1"/>
    <col min="11782" max="11782" width="14.85546875" style="3" customWidth="1"/>
    <col min="11783" max="11783" width="14.28515625" style="3" customWidth="1"/>
    <col min="11784" max="11784" width="14.7109375" style="3" customWidth="1"/>
    <col min="11785" max="11785" width="19.85546875" style="3" customWidth="1"/>
    <col min="11786" max="11786" width="21.42578125" style="3" customWidth="1"/>
    <col min="11787" max="11787" width="9" style="3"/>
    <col min="11788" max="11788" width="11" style="3" bestFit="1" customWidth="1"/>
    <col min="11789" max="12032" width="9" style="3"/>
    <col min="12033" max="12033" width="18.42578125" style="3" customWidth="1"/>
    <col min="12034" max="12034" width="14.7109375" style="3" customWidth="1"/>
    <col min="12035" max="12035" width="14.28515625" style="3" customWidth="1"/>
    <col min="12036" max="12036" width="16.42578125" style="3" customWidth="1"/>
    <col min="12037" max="12037" width="15.42578125" style="3" customWidth="1"/>
    <col min="12038" max="12038" width="14.85546875" style="3" customWidth="1"/>
    <col min="12039" max="12039" width="14.28515625" style="3" customWidth="1"/>
    <col min="12040" max="12040" width="14.7109375" style="3" customWidth="1"/>
    <col min="12041" max="12041" width="19.85546875" style="3" customWidth="1"/>
    <col min="12042" max="12042" width="21.42578125" style="3" customWidth="1"/>
    <col min="12043" max="12043" width="9" style="3"/>
    <col min="12044" max="12044" width="11" style="3" bestFit="1" customWidth="1"/>
    <col min="12045" max="12288" width="9" style="3"/>
    <col min="12289" max="12289" width="18.42578125" style="3" customWidth="1"/>
    <col min="12290" max="12290" width="14.7109375" style="3" customWidth="1"/>
    <col min="12291" max="12291" width="14.28515625" style="3" customWidth="1"/>
    <col min="12292" max="12292" width="16.42578125" style="3" customWidth="1"/>
    <col min="12293" max="12293" width="15.42578125" style="3" customWidth="1"/>
    <col min="12294" max="12294" width="14.85546875" style="3" customWidth="1"/>
    <col min="12295" max="12295" width="14.28515625" style="3" customWidth="1"/>
    <col min="12296" max="12296" width="14.7109375" style="3" customWidth="1"/>
    <col min="12297" max="12297" width="19.85546875" style="3" customWidth="1"/>
    <col min="12298" max="12298" width="21.42578125" style="3" customWidth="1"/>
    <col min="12299" max="12299" width="9" style="3"/>
    <col min="12300" max="12300" width="11" style="3" bestFit="1" customWidth="1"/>
    <col min="12301" max="12544" width="9" style="3"/>
    <col min="12545" max="12545" width="18.42578125" style="3" customWidth="1"/>
    <col min="12546" max="12546" width="14.7109375" style="3" customWidth="1"/>
    <col min="12547" max="12547" width="14.28515625" style="3" customWidth="1"/>
    <col min="12548" max="12548" width="16.42578125" style="3" customWidth="1"/>
    <col min="12549" max="12549" width="15.42578125" style="3" customWidth="1"/>
    <col min="12550" max="12550" width="14.85546875" style="3" customWidth="1"/>
    <col min="12551" max="12551" width="14.28515625" style="3" customWidth="1"/>
    <col min="12552" max="12552" width="14.7109375" style="3" customWidth="1"/>
    <col min="12553" max="12553" width="19.85546875" style="3" customWidth="1"/>
    <col min="12554" max="12554" width="21.42578125" style="3" customWidth="1"/>
    <col min="12555" max="12555" width="9" style="3"/>
    <col min="12556" max="12556" width="11" style="3" bestFit="1" customWidth="1"/>
    <col min="12557" max="12800" width="9" style="3"/>
    <col min="12801" max="12801" width="18.42578125" style="3" customWidth="1"/>
    <col min="12802" max="12802" width="14.7109375" style="3" customWidth="1"/>
    <col min="12803" max="12803" width="14.28515625" style="3" customWidth="1"/>
    <col min="12804" max="12804" width="16.42578125" style="3" customWidth="1"/>
    <col min="12805" max="12805" width="15.42578125" style="3" customWidth="1"/>
    <col min="12806" max="12806" width="14.85546875" style="3" customWidth="1"/>
    <col min="12807" max="12807" width="14.28515625" style="3" customWidth="1"/>
    <col min="12808" max="12808" width="14.7109375" style="3" customWidth="1"/>
    <col min="12809" max="12809" width="19.85546875" style="3" customWidth="1"/>
    <col min="12810" max="12810" width="21.42578125" style="3" customWidth="1"/>
    <col min="12811" max="12811" width="9" style="3"/>
    <col min="12812" max="12812" width="11" style="3" bestFit="1" customWidth="1"/>
    <col min="12813" max="13056" width="9" style="3"/>
    <col min="13057" max="13057" width="18.42578125" style="3" customWidth="1"/>
    <col min="13058" max="13058" width="14.7109375" style="3" customWidth="1"/>
    <col min="13059" max="13059" width="14.28515625" style="3" customWidth="1"/>
    <col min="13060" max="13060" width="16.42578125" style="3" customWidth="1"/>
    <col min="13061" max="13061" width="15.42578125" style="3" customWidth="1"/>
    <col min="13062" max="13062" width="14.85546875" style="3" customWidth="1"/>
    <col min="13063" max="13063" width="14.28515625" style="3" customWidth="1"/>
    <col min="13064" max="13064" width="14.7109375" style="3" customWidth="1"/>
    <col min="13065" max="13065" width="19.85546875" style="3" customWidth="1"/>
    <col min="13066" max="13066" width="21.42578125" style="3" customWidth="1"/>
    <col min="13067" max="13067" width="9" style="3"/>
    <col min="13068" max="13068" width="11" style="3" bestFit="1" customWidth="1"/>
    <col min="13069" max="13312" width="9" style="3"/>
    <col min="13313" max="13313" width="18.42578125" style="3" customWidth="1"/>
    <col min="13314" max="13314" width="14.7109375" style="3" customWidth="1"/>
    <col min="13315" max="13315" width="14.28515625" style="3" customWidth="1"/>
    <col min="13316" max="13316" width="16.42578125" style="3" customWidth="1"/>
    <col min="13317" max="13317" width="15.42578125" style="3" customWidth="1"/>
    <col min="13318" max="13318" width="14.85546875" style="3" customWidth="1"/>
    <col min="13319" max="13319" width="14.28515625" style="3" customWidth="1"/>
    <col min="13320" max="13320" width="14.7109375" style="3" customWidth="1"/>
    <col min="13321" max="13321" width="19.85546875" style="3" customWidth="1"/>
    <col min="13322" max="13322" width="21.42578125" style="3" customWidth="1"/>
    <col min="13323" max="13323" width="9" style="3"/>
    <col min="13324" max="13324" width="11" style="3" bestFit="1" customWidth="1"/>
    <col min="13325" max="13568" width="9" style="3"/>
    <col min="13569" max="13569" width="18.42578125" style="3" customWidth="1"/>
    <col min="13570" max="13570" width="14.7109375" style="3" customWidth="1"/>
    <col min="13571" max="13571" width="14.28515625" style="3" customWidth="1"/>
    <col min="13572" max="13572" width="16.42578125" style="3" customWidth="1"/>
    <col min="13573" max="13573" width="15.42578125" style="3" customWidth="1"/>
    <col min="13574" max="13574" width="14.85546875" style="3" customWidth="1"/>
    <col min="13575" max="13575" width="14.28515625" style="3" customWidth="1"/>
    <col min="13576" max="13576" width="14.7109375" style="3" customWidth="1"/>
    <col min="13577" max="13577" width="19.85546875" style="3" customWidth="1"/>
    <col min="13578" max="13578" width="21.42578125" style="3" customWidth="1"/>
    <col min="13579" max="13579" width="9" style="3"/>
    <col min="13580" max="13580" width="11" style="3" bestFit="1" customWidth="1"/>
    <col min="13581" max="13824" width="9" style="3"/>
    <col min="13825" max="13825" width="18.42578125" style="3" customWidth="1"/>
    <col min="13826" max="13826" width="14.7109375" style="3" customWidth="1"/>
    <col min="13827" max="13827" width="14.28515625" style="3" customWidth="1"/>
    <col min="13828" max="13828" width="16.42578125" style="3" customWidth="1"/>
    <col min="13829" max="13829" width="15.42578125" style="3" customWidth="1"/>
    <col min="13830" max="13830" width="14.85546875" style="3" customWidth="1"/>
    <col min="13831" max="13831" width="14.28515625" style="3" customWidth="1"/>
    <col min="13832" max="13832" width="14.7109375" style="3" customWidth="1"/>
    <col min="13833" max="13833" width="19.85546875" style="3" customWidth="1"/>
    <col min="13834" max="13834" width="21.42578125" style="3" customWidth="1"/>
    <col min="13835" max="13835" width="9" style="3"/>
    <col min="13836" max="13836" width="11" style="3" bestFit="1" customWidth="1"/>
    <col min="13837" max="14080" width="9" style="3"/>
    <col min="14081" max="14081" width="18.42578125" style="3" customWidth="1"/>
    <col min="14082" max="14082" width="14.7109375" style="3" customWidth="1"/>
    <col min="14083" max="14083" width="14.28515625" style="3" customWidth="1"/>
    <col min="14084" max="14084" width="16.42578125" style="3" customWidth="1"/>
    <col min="14085" max="14085" width="15.42578125" style="3" customWidth="1"/>
    <col min="14086" max="14086" width="14.85546875" style="3" customWidth="1"/>
    <col min="14087" max="14087" width="14.28515625" style="3" customWidth="1"/>
    <col min="14088" max="14088" width="14.7109375" style="3" customWidth="1"/>
    <col min="14089" max="14089" width="19.85546875" style="3" customWidth="1"/>
    <col min="14090" max="14090" width="21.42578125" style="3" customWidth="1"/>
    <col min="14091" max="14091" width="9" style="3"/>
    <col min="14092" max="14092" width="11" style="3" bestFit="1" customWidth="1"/>
    <col min="14093" max="14336" width="9" style="3"/>
    <col min="14337" max="14337" width="18.42578125" style="3" customWidth="1"/>
    <col min="14338" max="14338" width="14.7109375" style="3" customWidth="1"/>
    <col min="14339" max="14339" width="14.28515625" style="3" customWidth="1"/>
    <col min="14340" max="14340" width="16.42578125" style="3" customWidth="1"/>
    <col min="14341" max="14341" width="15.42578125" style="3" customWidth="1"/>
    <col min="14342" max="14342" width="14.85546875" style="3" customWidth="1"/>
    <col min="14343" max="14343" width="14.28515625" style="3" customWidth="1"/>
    <col min="14344" max="14344" width="14.7109375" style="3" customWidth="1"/>
    <col min="14345" max="14345" width="19.85546875" style="3" customWidth="1"/>
    <col min="14346" max="14346" width="21.42578125" style="3" customWidth="1"/>
    <col min="14347" max="14347" width="9" style="3"/>
    <col min="14348" max="14348" width="11" style="3" bestFit="1" customWidth="1"/>
    <col min="14349" max="14592" width="9" style="3"/>
    <col min="14593" max="14593" width="18.42578125" style="3" customWidth="1"/>
    <col min="14594" max="14594" width="14.7109375" style="3" customWidth="1"/>
    <col min="14595" max="14595" width="14.28515625" style="3" customWidth="1"/>
    <col min="14596" max="14596" width="16.42578125" style="3" customWidth="1"/>
    <col min="14597" max="14597" width="15.42578125" style="3" customWidth="1"/>
    <col min="14598" max="14598" width="14.85546875" style="3" customWidth="1"/>
    <col min="14599" max="14599" width="14.28515625" style="3" customWidth="1"/>
    <col min="14600" max="14600" width="14.7109375" style="3" customWidth="1"/>
    <col min="14601" max="14601" width="19.85546875" style="3" customWidth="1"/>
    <col min="14602" max="14602" width="21.42578125" style="3" customWidth="1"/>
    <col min="14603" max="14603" width="9" style="3"/>
    <col min="14604" max="14604" width="11" style="3" bestFit="1" customWidth="1"/>
    <col min="14605" max="14848" width="9" style="3"/>
    <col min="14849" max="14849" width="18.42578125" style="3" customWidth="1"/>
    <col min="14850" max="14850" width="14.7109375" style="3" customWidth="1"/>
    <col min="14851" max="14851" width="14.28515625" style="3" customWidth="1"/>
    <col min="14852" max="14852" width="16.42578125" style="3" customWidth="1"/>
    <col min="14853" max="14853" width="15.42578125" style="3" customWidth="1"/>
    <col min="14854" max="14854" width="14.85546875" style="3" customWidth="1"/>
    <col min="14855" max="14855" width="14.28515625" style="3" customWidth="1"/>
    <col min="14856" max="14856" width="14.7109375" style="3" customWidth="1"/>
    <col min="14857" max="14857" width="19.85546875" style="3" customWidth="1"/>
    <col min="14858" max="14858" width="21.42578125" style="3" customWidth="1"/>
    <col min="14859" max="14859" width="9" style="3"/>
    <col min="14860" max="14860" width="11" style="3" bestFit="1" customWidth="1"/>
    <col min="14861" max="15104" width="9" style="3"/>
    <col min="15105" max="15105" width="18.42578125" style="3" customWidth="1"/>
    <col min="15106" max="15106" width="14.7109375" style="3" customWidth="1"/>
    <col min="15107" max="15107" width="14.28515625" style="3" customWidth="1"/>
    <col min="15108" max="15108" width="16.42578125" style="3" customWidth="1"/>
    <col min="15109" max="15109" width="15.42578125" style="3" customWidth="1"/>
    <col min="15110" max="15110" width="14.85546875" style="3" customWidth="1"/>
    <col min="15111" max="15111" width="14.28515625" style="3" customWidth="1"/>
    <col min="15112" max="15112" width="14.7109375" style="3" customWidth="1"/>
    <col min="15113" max="15113" width="19.85546875" style="3" customWidth="1"/>
    <col min="15114" max="15114" width="21.42578125" style="3" customWidth="1"/>
    <col min="15115" max="15115" width="9" style="3"/>
    <col min="15116" max="15116" width="11" style="3" bestFit="1" customWidth="1"/>
    <col min="15117" max="15360" width="9" style="3"/>
    <col min="15361" max="15361" width="18.42578125" style="3" customWidth="1"/>
    <col min="15362" max="15362" width="14.7109375" style="3" customWidth="1"/>
    <col min="15363" max="15363" width="14.28515625" style="3" customWidth="1"/>
    <col min="15364" max="15364" width="16.42578125" style="3" customWidth="1"/>
    <col min="15365" max="15365" width="15.42578125" style="3" customWidth="1"/>
    <col min="15366" max="15366" width="14.85546875" style="3" customWidth="1"/>
    <col min="15367" max="15367" width="14.28515625" style="3" customWidth="1"/>
    <col min="15368" max="15368" width="14.7109375" style="3" customWidth="1"/>
    <col min="15369" max="15369" width="19.85546875" style="3" customWidth="1"/>
    <col min="15370" max="15370" width="21.42578125" style="3" customWidth="1"/>
    <col min="15371" max="15371" width="9" style="3"/>
    <col min="15372" max="15372" width="11" style="3" bestFit="1" customWidth="1"/>
    <col min="15373" max="15616" width="9" style="3"/>
    <col min="15617" max="15617" width="18.42578125" style="3" customWidth="1"/>
    <col min="15618" max="15618" width="14.7109375" style="3" customWidth="1"/>
    <col min="15619" max="15619" width="14.28515625" style="3" customWidth="1"/>
    <col min="15620" max="15620" width="16.42578125" style="3" customWidth="1"/>
    <col min="15621" max="15621" width="15.42578125" style="3" customWidth="1"/>
    <col min="15622" max="15622" width="14.85546875" style="3" customWidth="1"/>
    <col min="15623" max="15623" width="14.28515625" style="3" customWidth="1"/>
    <col min="15624" max="15624" width="14.7109375" style="3" customWidth="1"/>
    <col min="15625" max="15625" width="19.85546875" style="3" customWidth="1"/>
    <col min="15626" max="15626" width="21.42578125" style="3" customWidth="1"/>
    <col min="15627" max="15627" width="9" style="3"/>
    <col min="15628" max="15628" width="11" style="3" bestFit="1" customWidth="1"/>
    <col min="15629" max="15872" width="9" style="3"/>
    <col min="15873" max="15873" width="18.42578125" style="3" customWidth="1"/>
    <col min="15874" max="15874" width="14.7109375" style="3" customWidth="1"/>
    <col min="15875" max="15875" width="14.28515625" style="3" customWidth="1"/>
    <col min="15876" max="15876" width="16.42578125" style="3" customWidth="1"/>
    <col min="15877" max="15877" width="15.42578125" style="3" customWidth="1"/>
    <col min="15878" max="15878" width="14.85546875" style="3" customWidth="1"/>
    <col min="15879" max="15879" width="14.28515625" style="3" customWidth="1"/>
    <col min="15880" max="15880" width="14.7109375" style="3" customWidth="1"/>
    <col min="15881" max="15881" width="19.85546875" style="3" customWidth="1"/>
    <col min="15882" max="15882" width="21.42578125" style="3" customWidth="1"/>
    <col min="15883" max="15883" width="9" style="3"/>
    <col min="15884" max="15884" width="11" style="3" bestFit="1" customWidth="1"/>
    <col min="15885" max="16128" width="9" style="3"/>
    <col min="16129" max="16129" width="18.42578125" style="3" customWidth="1"/>
    <col min="16130" max="16130" width="14.7109375" style="3" customWidth="1"/>
    <col min="16131" max="16131" width="14.28515625" style="3" customWidth="1"/>
    <col min="16132" max="16132" width="16.42578125" style="3" customWidth="1"/>
    <col min="16133" max="16133" width="15.42578125" style="3" customWidth="1"/>
    <col min="16134" max="16134" width="14.85546875" style="3" customWidth="1"/>
    <col min="16135" max="16135" width="14.28515625" style="3" customWidth="1"/>
    <col min="16136" max="16136" width="14.7109375" style="3" customWidth="1"/>
    <col min="16137" max="16137" width="19.85546875" style="3" customWidth="1"/>
    <col min="16138" max="16138" width="21.42578125" style="3" customWidth="1"/>
    <col min="16139" max="16139" width="9" style="3"/>
    <col min="16140" max="16140" width="11" style="3" bestFit="1" customWidth="1"/>
    <col min="16141" max="16384" width="9" style="3"/>
  </cols>
  <sheetData>
    <row r="1" spans="1:10" s="5" customFormat="1" ht="32.25" x14ac:dyDescent="0.45">
      <c r="A1" s="116" t="s">
        <v>0</v>
      </c>
      <c r="B1" s="117"/>
      <c r="C1" s="117"/>
      <c r="D1" s="117"/>
      <c r="E1" s="117"/>
      <c r="F1" s="117"/>
      <c r="G1" s="117"/>
      <c r="H1" s="117"/>
      <c r="I1" s="117"/>
      <c r="J1" s="117"/>
    </row>
    <row r="2" spans="1:10" s="6" customFormat="1" ht="24" customHeight="1" x14ac:dyDescent="0.3">
      <c r="A2" s="118" t="s">
        <v>1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 s="7" customFormat="1" ht="22.7" customHeight="1" thickBot="1" x14ac:dyDescent="0.35">
      <c r="A3" s="7" t="s">
        <v>558</v>
      </c>
      <c r="B3" s="8"/>
      <c r="E3" s="9" t="s">
        <v>556</v>
      </c>
      <c r="I3" s="10"/>
      <c r="J3" s="11" t="s">
        <v>2</v>
      </c>
    </row>
    <row r="4" spans="1:10" ht="22.7" customHeight="1" x14ac:dyDescent="0.25">
      <c r="A4" s="119" t="s">
        <v>3</v>
      </c>
      <c r="B4" s="121" t="s">
        <v>4</v>
      </c>
      <c r="C4" s="122"/>
      <c r="D4" s="123"/>
      <c r="E4" s="121" t="s">
        <v>5</v>
      </c>
      <c r="F4" s="122"/>
      <c r="G4" s="122"/>
      <c r="H4" s="123"/>
      <c r="I4" s="124" t="s">
        <v>6</v>
      </c>
      <c r="J4" s="126" t="s">
        <v>7</v>
      </c>
    </row>
    <row r="5" spans="1:10" ht="22.7" customHeight="1" x14ac:dyDescent="0.25">
      <c r="A5" s="120"/>
      <c r="B5" s="12" t="s">
        <v>8</v>
      </c>
      <c r="C5" s="13" t="s">
        <v>9</v>
      </c>
      <c r="D5" s="14" t="s">
        <v>10</v>
      </c>
      <c r="E5" s="12" t="s">
        <v>11</v>
      </c>
      <c r="F5" s="13" t="s">
        <v>12</v>
      </c>
      <c r="G5" s="13" t="s">
        <v>13</v>
      </c>
      <c r="H5" s="14" t="s">
        <v>14</v>
      </c>
      <c r="I5" s="125"/>
      <c r="J5" s="127"/>
    </row>
    <row r="6" spans="1:10" s="15" customFormat="1" ht="22.7" customHeight="1" thickBot="1" x14ac:dyDescent="0.2">
      <c r="A6" s="106" t="s">
        <v>15</v>
      </c>
      <c r="B6" s="107" t="s">
        <v>16</v>
      </c>
      <c r="C6" s="108" t="s">
        <v>16</v>
      </c>
      <c r="D6" s="109" t="s">
        <v>17</v>
      </c>
      <c r="E6" s="110" t="s">
        <v>18</v>
      </c>
      <c r="F6" s="111" t="s">
        <v>19</v>
      </c>
      <c r="G6" s="111" t="s">
        <v>20</v>
      </c>
      <c r="H6" s="109" t="s">
        <v>21</v>
      </c>
      <c r="I6" s="112" t="s">
        <v>22</v>
      </c>
      <c r="J6" s="113" t="s">
        <v>23</v>
      </c>
    </row>
    <row r="7" spans="1:10" ht="22.7" customHeight="1" x14ac:dyDescent="0.3">
      <c r="A7" s="16" t="s">
        <v>24</v>
      </c>
      <c r="B7" s="17">
        <v>0</v>
      </c>
      <c r="C7" s="18">
        <v>0</v>
      </c>
      <c r="D7" s="19">
        <f>C7+B7</f>
        <v>0</v>
      </c>
      <c r="E7" s="114">
        <v>7.4999999999999997E-2</v>
      </c>
      <c r="F7" s="18">
        <f>ROUND(($B$23*E7*-1),0)</f>
        <v>-26259</v>
      </c>
      <c r="G7" s="18">
        <f>ROUND(($C$23*E7*-1),0)</f>
        <v>-9520</v>
      </c>
      <c r="H7" s="19">
        <f>F7+G7</f>
        <v>-35779</v>
      </c>
      <c r="I7" s="20">
        <f>ROUND((F7*0.05*-1),0)</f>
        <v>1313</v>
      </c>
      <c r="J7" s="19">
        <f>D7+H7+I7</f>
        <v>-34466</v>
      </c>
    </row>
    <row r="8" spans="1:10" ht="22.7" customHeight="1" x14ac:dyDescent="0.3">
      <c r="A8" s="21" t="s">
        <v>25</v>
      </c>
      <c r="B8" s="17">
        <v>0</v>
      </c>
      <c r="C8" s="22">
        <v>0</v>
      </c>
      <c r="D8" s="19">
        <f t="shared" ref="D8:D19" si="0">C8+B8</f>
        <v>0</v>
      </c>
      <c r="E8" s="114">
        <v>7.4999999999999997E-2</v>
      </c>
      <c r="F8" s="18">
        <f>ROUND(($B$23*E8*-1),0)</f>
        <v>-26259</v>
      </c>
      <c r="G8" s="22">
        <f>ROUND(($C$23*E8*-1),0)</f>
        <v>-9520</v>
      </c>
      <c r="H8" s="19">
        <f t="shared" ref="H8:H19" si="1">F8+G8</f>
        <v>-35779</v>
      </c>
      <c r="I8" s="20">
        <f t="shared" ref="I8:I19" si="2">ROUND((F8*0.05*-1),0)</f>
        <v>1313</v>
      </c>
      <c r="J8" s="19">
        <f t="shared" ref="J8:J19" si="3">D8+H8+I8</f>
        <v>-34466</v>
      </c>
    </row>
    <row r="9" spans="1:10" ht="22.7" customHeight="1" x14ac:dyDescent="0.3">
      <c r="A9" s="21" t="s">
        <v>26</v>
      </c>
      <c r="B9" s="17">
        <v>0</v>
      </c>
      <c r="C9" s="22">
        <v>0</v>
      </c>
      <c r="D9" s="19">
        <f t="shared" si="0"/>
        <v>0</v>
      </c>
      <c r="E9" s="114">
        <v>7.4999999999999997E-2</v>
      </c>
      <c r="F9" s="18">
        <f t="shared" ref="F9:F21" si="4">ROUND(($B$23*E9*-1),0)</f>
        <v>-26259</v>
      </c>
      <c r="G9" s="22">
        <f t="shared" ref="G9:G21" si="5">ROUND(($C$23*E9*-1),0)</f>
        <v>-9520</v>
      </c>
      <c r="H9" s="19">
        <f t="shared" si="1"/>
        <v>-35779</v>
      </c>
      <c r="I9" s="20">
        <f t="shared" si="2"/>
        <v>1313</v>
      </c>
      <c r="J9" s="19">
        <f t="shared" si="3"/>
        <v>-34466</v>
      </c>
    </row>
    <row r="10" spans="1:10" ht="22.7" customHeight="1" x14ac:dyDescent="0.3">
      <c r="A10" s="21" t="s">
        <v>27</v>
      </c>
      <c r="B10" s="17">
        <v>0</v>
      </c>
      <c r="C10" s="22">
        <v>0</v>
      </c>
      <c r="D10" s="19">
        <f t="shared" si="0"/>
        <v>0</v>
      </c>
      <c r="E10" s="114">
        <v>7.4999999999999997E-2</v>
      </c>
      <c r="F10" s="18">
        <f t="shared" si="4"/>
        <v>-26259</v>
      </c>
      <c r="G10" s="22">
        <f t="shared" si="5"/>
        <v>-9520</v>
      </c>
      <c r="H10" s="19">
        <f t="shared" si="1"/>
        <v>-35779</v>
      </c>
      <c r="I10" s="20">
        <f t="shared" si="2"/>
        <v>1313</v>
      </c>
      <c r="J10" s="19">
        <f t="shared" si="3"/>
        <v>-34466</v>
      </c>
    </row>
    <row r="11" spans="1:10" ht="22.7" customHeight="1" x14ac:dyDescent="0.3">
      <c r="A11" s="21" t="s">
        <v>28</v>
      </c>
      <c r="B11" s="17">
        <v>0</v>
      </c>
      <c r="C11" s="22">
        <v>0</v>
      </c>
      <c r="D11" s="19">
        <f t="shared" si="0"/>
        <v>0</v>
      </c>
      <c r="E11" s="114">
        <v>7.4999999999999997E-2</v>
      </c>
      <c r="F11" s="18">
        <f t="shared" si="4"/>
        <v>-26259</v>
      </c>
      <c r="G11" s="22">
        <f t="shared" si="5"/>
        <v>-9520</v>
      </c>
      <c r="H11" s="19">
        <f t="shared" si="1"/>
        <v>-35779</v>
      </c>
      <c r="I11" s="20">
        <f t="shared" si="2"/>
        <v>1313</v>
      </c>
      <c r="J11" s="19">
        <f t="shared" si="3"/>
        <v>-34466</v>
      </c>
    </row>
    <row r="12" spans="1:10" ht="22.7" customHeight="1" x14ac:dyDescent="0.3">
      <c r="A12" s="21" t="s">
        <v>29</v>
      </c>
      <c r="B12" s="17">
        <v>0</v>
      </c>
      <c r="C12" s="22">
        <v>0</v>
      </c>
      <c r="D12" s="19">
        <f t="shared" si="0"/>
        <v>0</v>
      </c>
      <c r="E12" s="114">
        <v>7.4999999999999997E-2</v>
      </c>
      <c r="F12" s="18">
        <f t="shared" si="4"/>
        <v>-26259</v>
      </c>
      <c r="G12" s="22">
        <f t="shared" si="5"/>
        <v>-9520</v>
      </c>
      <c r="H12" s="19">
        <f t="shared" si="1"/>
        <v>-35779</v>
      </c>
      <c r="I12" s="20">
        <f t="shared" si="2"/>
        <v>1313</v>
      </c>
      <c r="J12" s="19">
        <f t="shared" si="3"/>
        <v>-34466</v>
      </c>
    </row>
    <row r="13" spans="1:10" ht="22.7" customHeight="1" x14ac:dyDescent="0.3">
      <c r="A13" s="21" t="s">
        <v>30</v>
      </c>
      <c r="B13" s="17">
        <v>0</v>
      </c>
      <c r="C13" s="22">
        <v>0</v>
      </c>
      <c r="D13" s="19">
        <f t="shared" si="0"/>
        <v>0</v>
      </c>
      <c r="E13" s="114">
        <v>7.4999999999999997E-2</v>
      </c>
      <c r="F13" s="18">
        <f t="shared" si="4"/>
        <v>-26259</v>
      </c>
      <c r="G13" s="22">
        <f t="shared" si="5"/>
        <v>-9520</v>
      </c>
      <c r="H13" s="19">
        <f t="shared" si="1"/>
        <v>-35779</v>
      </c>
      <c r="I13" s="20">
        <f t="shared" si="2"/>
        <v>1313</v>
      </c>
      <c r="J13" s="19">
        <f t="shared" si="3"/>
        <v>-34466</v>
      </c>
    </row>
    <row r="14" spans="1:10" ht="22.7" customHeight="1" x14ac:dyDescent="0.3">
      <c r="A14" s="21" t="s">
        <v>31</v>
      </c>
      <c r="B14" s="17">
        <v>0</v>
      </c>
      <c r="C14" s="22">
        <v>0</v>
      </c>
      <c r="D14" s="19">
        <f t="shared" si="0"/>
        <v>0</v>
      </c>
      <c r="E14" s="114">
        <v>7.4999999999999997E-2</v>
      </c>
      <c r="F14" s="18">
        <f t="shared" si="4"/>
        <v>-26259</v>
      </c>
      <c r="G14" s="22">
        <f t="shared" si="5"/>
        <v>-9520</v>
      </c>
      <c r="H14" s="19">
        <f t="shared" si="1"/>
        <v>-35779</v>
      </c>
      <c r="I14" s="20">
        <f t="shared" si="2"/>
        <v>1313</v>
      </c>
      <c r="J14" s="19">
        <f t="shared" si="3"/>
        <v>-34466</v>
      </c>
    </row>
    <row r="15" spans="1:10" ht="22.7" customHeight="1" x14ac:dyDescent="0.3">
      <c r="A15" s="21" t="s">
        <v>33</v>
      </c>
      <c r="B15" s="17">
        <v>350123</v>
      </c>
      <c r="C15" s="22">
        <v>126931</v>
      </c>
      <c r="D15" s="19">
        <f t="shared" si="0"/>
        <v>477054</v>
      </c>
      <c r="E15" s="69">
        <v>0.06</v>
      </c>
      <c r="F15" s="18">
        <f t="shared" si="4"/>
        <v>-21007</v>
      </c>
      <c r="G15" s="22">
        <f t="shared" si="5"/>
        <v>-7616</v>
      </c>
      <c r="H15" s="19">
        <f t="shared" si="1"/>
        <v>-28623</v>
      </c>
      <c r="I15" s="20">
        <f t="shared" si="2"/>
        <v>1050</v>
      </c>
      <c r="J15" s="19">
        <f t="shared" si="3"/>
        <v>449481</v>
      </c>
    </row>
    <row r="16" spans="1:10" ht="22.7" customHeight="1" x14ac:dyDescent="0.3">
      <c r="A16" s="21" t="s">
        <v>34</v>
      </c>
      <c r="B16" s="17">
        <v>0</v>
      </c>
      <c r="C16" s="22">
        <v>0</v>
      </c>
      <c r="D16" s="19">
        <f t="shared" si="0"/>
        <v>0</v>
      </c>
      <c r="E16" s="69">
        <v>0.03</v>
      </c>
      <c r="F16" s="18">
        <f t="shared" si="4"/>
        <v>-10504</v>
      </c>
      <c r="G16" s="22">
        <f t="shared" si="5"/>
        <v>-3808</v>
      </c>
      <c r="H16" s="19">
        <f t="shared" si="1"/>
        <v>-14312</v>
      </c>
      <c r="I16" s="20">
        <f t="shared" si="2"/>
        <v>525</v>
      </c>
      <c r="J16" s="19">
        <f t="shared" si="3"/>
        <v>-13787</v>
      </c>
    </row>
    <row r="17" spans="1:12" ht="22.7" customHeight="1" x14ac:dyDescent="0.3">
      <c r="A17" s="21" t="s">
        <v>35</v>
      </c>
      <c r="B17" s="17">
        <v>0</v>
      </c>
      <c r="C17" s="22">
        <v>0</v>
      </c>
      <c r="D17" s="19">
        <f t="shared" si="0"/>
        <v>0</v>
      </c>
      <c r="E17" s="69">
        <v>0.02</v>
      </c>
      <c r="F17" s="18">
        <f t="shared" si="4"/>
        <v>-7002</v>
      </c>
      <c r="G17" s="22">
        <f t="shared" si="5"/>
        <v>-2539</v>
      </c>
      <c r="H17" s="19">
        <f t="shared" si="1"/>
        <v>-9541</v>
      </c>
      <c r="I17" s="20">
        <f t="shared" si="2"/>
        <v>350</v>
      </c>
      <c r="J17" s="19">
        <f t="shared" si="3"/>
        <v>-9191</v>
      </c>
    </row>
    <row r="18" spans="1:12" ht="22.7" customHeight="1" x14ac:dyDescent="0.3">
      <c r="A18" s="21" t="s">
        <v>36</v>
      </c>
      <c r="B18" s="17">
        <v>0</v>
      </c>
      <c r="C18" s="22">
        <v>0</v>
      </c>
      <c r="D18" s="19">
        <f t="shared" si="0"/>
        <v>0</v>
      </c>
      <c r="E18" s="69">
        <v>0.06</v>
      </c>
      <c r="F18" s="18">
        <f t="shared" si="4"/>
        <v>-21007</v>
      </c>
      <c r="G18" s="22">
        <f t="shared" si="5"/>
        <v>-7616</v>
      </c>
      <c r="H18" s="19">
        <f t="shared" si="1"/>
        <v>-28623</v>
      </c>
      <c r="I18" s="20">
        <f t="shared" si="2"/>
        <v>1050</v>
      </c>
      <c r="J18" s="19">
        <f t="shared" si="3"/>
        <v>-27573</v>
      </c>
    </row>
    <row r="19" spans="1:12" ht="22.15" customHeight="1" x14ac:dyDescent="0.3">
      <c r="A19" s="21" t="s">
        <v>37</v>
      </c>
      <c r="B19" s="17">
        <v>0</v>
      </c>
      <c r="C19" s="22">
        <v>0</v>
      </c>
      <c r="D19" s="19">
        <f t="shared" si="0"/>
        <v>0</v>
      </c>
      <c r="E19" s="69">
        <v>0.05</v>
      </c>
      <c r="F19" s="18">
        <f t="shared" si="4"/>
        <v>-17506</v>
      </c>
      <c r="G19" s="22">
        <f t="shared" si="5"/>
        <v>-6347</v>
      </c>
      <c r="H19" s="19">
        <f t="shared" si="1"/>
        <v>-23853</v>
      </c>
      <c r="I19" s="20">
        <f t="shared" si="2"/>
        <v>875</v>
      </c>
      <c r="J19" s="19">
        <f t="shared" si="3"/>
        <v>-22978</v>
      </c>
    </row>
    <row r="20" spans="1:12" ht="22.15" customHeight="1" x14ac:dyDescent="0.3">
      <c r="A20" s="21" t="s">
        <v>476</v>
      </c>
      <c r="B20" s="17">
        <v>0</v>
      </c>
      <c r="C20" s="22">
        <v>0</v>
      </c>
      <c r="D20" s="19">
        <f t="shared" ref="D20" si="6">C20+B20</f>
        <v>0</v>
      </c>
      <c r="E20" s="69">
        <v>0.05</v>
      </c>
      <c r="F20" s="18">
        <f t="shared" si="4"/>
        <v>-17506</v>
      </c>
      <c r="G20" s="22">
        <f t="shared" si="5"/>
        <v>-6347</v>
      </c>
      <c r="H20" s="19">
        <f t="shared" ref="H20" si="7">F20+G20</f>
        <v>-23853</v>
      </c>
      <c r="I20" s="20">
        <f t="shared" ref="I20" si="8">ROUND((F20*0.05*-1),0)</f>
        <v>875</v>
      </c>
      <c r="J20" s="19">
        <f t="shared" ref="J20" si="9">D20+H20+I20</f>
        <v>-22978</v>
      </c>
    </row>
    <row r="21" spans="1:12" ht="22.7" customHeight="1" x14ac:dyDescent="0.3">
      <c r="A21" s="21" t="s">
        <v>38</v>
      </c>
      <c r="B21" s="17">
        <v>0</v>
      </c>
      <c r="C21" s="22">
        <v>0</v>
      </c>
      <c r="D21" s="19">
        <f>C21+B21</f>
        <v>0</v>
      </c>
      <c r="E21" s="69">
        <v>0.06</v>
      </c>
      <c r="F21" s="18">
        <f t="shared" si="4"/>
        <v>-21007</v>
      </c>
      <c r="G21" s="22">
        <f t="shared" si="5"/>
        <v>-7616</v>
      </c>
      <c r="H21" s="19">
        <f>F21+G21</f>
        <v>-28623</v>
      </c>
      <c r="I21" s="20">
        <f>ROUND((F21*0.05*-1),0)</f>
        <v>1050</v>
      </c>
      <c r="J21" s="23">
        <f>D21+H21+I21</f>
        <v>-27573</v>
      </c>
    </row>
    <row r="22" spans="1:12" ht="22.7" customHeight="1" x14ac:dyDescent="0.3">
      <c r="A22" s="21" t="s">
        <v>32</v>
      </c>
      <c r="B22" s="17">
        <v>0</v>
      </c>
      <c r="C22" s="22">
        <v>0</v>
      </c>
      <c r="D22" s="19">
        <f>C22+B22</f>
        <v>0</v>
      </c>
      <c r="E22" s="69">
        <v>7.0000000000000007E-2</v>
      </c>
      <c r="F22" s="18">
        <f>-1*B23-SUM(F7:F21)</f>
        <v>-24512</v>
      </c>
      <c r="G22" s="18">
        <f>-1*C23-SUM(G7:G21)</f>
        <v>-8882</v>
      </c>
      <c r="H22" s="19">
        <f>F22+G22</f>
        <v>-33394</v>
      </c>
      <c r="I22" s="20">
        <f>ROUND((F22*0.05*-1),0)</f>
        <v>1226</v>
      </c>
      <c r="J22" s="19">
        <f>D22+H22+I22</f>
        <v>-32168</v>
      </c>
    </row>
    <row r="23" spans="1:12" ht="22.7" customHeight="1" thickBot="1" x14ac:dyDescent="0.35">
      <c r="A23" s="66" t="s">
        <v>39</v>
      </c>
      <c r="B23" s="67">
        <f t="shared" ref="B23:J23" si="10">SUM(B7:B22)</f>
        <v>350123</v>
      </c>
      <c r="C23" s="62">
        <f t="shared" si="10"/>
        <v>126931</v>
      </c>
      <c r="D23" s="65">
        <f t="shared" si="10"/>
        <v>477054</v>
      </c>
      <c r="E23" s="64">
        <f t="shared" si="10"/>
        <v>1.0000000000000002</v>
      </c>
      <c r="F23" s="62">
        <f t="shared" si="10"/>
        <v>-350123</v>
      </c>
      <c r="G23" s="62">
        <f t="shared" si="10"/>
        <v>-126931</v>
      </c>
      <c r="H23" s="68">
        <f t="shared" si="10"/>
        <v>-477054</v>
      </c>
      <c r="I23" s="63">
        <f t="shared" si="10"/>
        <v>17505</v>
      </c>
      <c r="J23" s="68">
        <f t="shared" si="10"/>
        <v>17505</v>
      </c>
    </row>
    <row r="24" spans="1:12" ht="22.7" customHeight="1" x14ac:dyDescent="0.2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8"/>
      <c r="L24" s="87"/>
    </row>
    <row r="25" spans="1:12" ht="22.7" customHeight="1" x14ac:dyDescent="0.25">
      <c r="A25" s="90" t="s">
        <v>554</v>
      </c>
      <c r="B25" s="90"/>
      <c r="C25" s="90"/>
      <c r="D25" s="115" t="s">
        <v>492</v>
      </c>
      <c r="E25" s="115"/>
      <c r="F25" s="90"/>
      <c r="G25" s="90" t="s">
        <v>493</v>
      </c>
      <c r="H25" s="90"/>
      <c r="I25" s="90" t="s">
        <v>555</v>
      </c>
      <c r="J25" s="90"/>
      <c r="K25" s="90"/>
      <c r="L25" s="91"/>
    </row>
    <row r="26" spans="1:12" ht="22.7" customHeight="1" x14ac:dyDescent="0.25">
      <c r="A26" s="95" t="s">
        <v>491</v>
      </c>
      <c r="B26" s="89"/>
      <c r="C26" s="90"/>
      <c r="D26" s="89"/>
      <c r="E26" s="89"/>
      <c r="F26" s="90"/>
      <c r="G26" s="92"/>
      <c r="H26" s="92"/>
      <c r="I26" s="90"/>
      <c r="J26" s="92"/>
      <c r="K26" s="93"/>
      <c r="L26" s="91"/>
    </row>
    <row r="27" spans="1:12" ht="22.7" customHeight="1" x14ac:dyDescent="0.25">
      <c r="A27" s="3" t="s">
        <v>478</v>
      </c>
    </row>
    <row r="28" spans="1:12" ht="22.7" customHeight="1" x14ac:dyDescent="0.25">
      <c r="A28" s="3" t="s">
        <v>477</v>
      </c>
    </row>
    <row r="29" spans="1:12" ht="22.7" customHeight="1" x14ac:dyDescent="0.25">
      <c r="A29" s="3" t="s">
        <v>483</v>
      </c>
    </row>
    <row r="30" spans="1:12" ht="22.7" customHeight="1" x14ac:dyDescent="0.25">
      <c r="A30" s="3" t="s">
        <v>479</v>
      </c>
    </row>
    <row r="31" spans="1:12" ht="22.7" customHeight="1" x14ac:dyDescent="0.25">
      <c r="A31" s="3" t="s">
        <v>480</v>
      </c>
    </row>
    <row r="32" spans="1:12" ht="22.7" customHeight="1" x14ac:dyDescent="0.25">
      <c r="A32" s="3" t="s">
        <v>481</v>
      </c>
    </row>
    <row r="33" spans="1:1" ht="22.7" customHeight="1" x14ac:dyDescent="0.25">
      <c r="A33" s="3" t="s">
        <v>482</v>
      </c>
    </row>
    <row r="34" spans="1:1" ht="22.7" customHeight="1" x14ac:dyDescent="0.25">
      <c r="A34" s="3" t="s">
        <v>484</v>
      </c>
    </row>
  </sheetData>
  <mergeCells count="8"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47244094488188981" right="0.47244094488188981" top="0.9055118110236221" bottom="0.86614173228346458" header="0.51181102362204722" footer="0.51181102362204722"/>
  <pageSetup paperSize="9" scale="85" orientation="landscape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O21"/>
  <sheetViews>
    <sheetView workbookViewId="0">
      <selection activeCell="H8" sqref="H8"/>
    </sheetView>
  </sheetViews>
  <sheetFormatPr defaultRowHeight="15.75" x14ac:dyDescent="0.25"/>
  <cols>
    <col min="1" max="1" width="17.42578125" bestFit="1" customWidth="1"/>
    <col min="5" max="6" width="10" bestFit="1" customWidth="1"/>
    <col min="10" max="12" width="10" bestFit="1" customWidth="1"/>
    <col min="14" max="14" width="11.140625" bestFit="1" customWidth="1"/>
  </cols>
  <sheetData>
    <row r="1" spans="1:15" ht="27.75" x14ac:dyDescent="0.25">
      <c r="A1" s="133" t="s">
        <v>485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15" ht="27.75" x14ac:dyDescent="0.25">
      <c r="A2" s="70"/>
      <c r="B2" s="70"/>
      <c r="C2" s="70"/>
      <c r="D2" s="70"/>
      <c r="E2" s="70"/>
      <c r="F2" s="70"/>
      <c r="G2" s="71" t="s">
        <v>486</v>
      </c>
      <c r="H2" s="70"/>
      <c r="I2" s="70"/>
      <c r="J2" s="70"/>
      <c r="K2" s="70"/>
      <c r="L2" s="70"/>
      <c r="M2" s="70"/>
      <c r="N2" s="70"/>
      <c r="O2" s="72"/>
    </row>
    <row r="3" spans="1:15" ht="21.75" thickBot="1" x14ac:dyDescent="0.3">
      <c r="A3" s="73"/>
      <c r="B3" s="73"/>
      <c r="C3" s="73"/>
      <c r="D3" s="72"/>
      <c r="E3" s="74"/>
      <c r="F3" s="74"/>
      <c r="G3" s="71" t="s">
        <v>557</v>
      </c>
      <c r="H3" s="71"/>
      <c r="I3" s="71"/>
      <c r="J3" s="75"/>
      <c r="K3" s="72"/>
      <c r="L3" s="72"/>
      <c r="M3" s="72"/>
      <c r="N3" s="134" t="s">
        <v>487</v>
      </c>
      <c r="O3" s="134"/>
    </row>
    <row r="4" spans="1:15" ht="28.5" x14ac:dyDescent="0.25">
      <c r="A4" s="76" t="s">
        <v>488</v>
      </c>
      <c r="B4" s="77">
        <v>1</v>
      </c>
      <c r="C4" s="77">
        <v>2</v>
      </c>
      <c r="D4" s="77">
        <v>3</v>
      </c>
      <c r="E4" s="77">
        <v>4</v>
      </c>
      <c r="F4" s="77">
        <v>5</v>
      </c>
      <c r="G4" s="77">
        <v>6</v>
      </c>
      <c r="H4" s="77">
        <v>7</v>
      </c>
      <c r="I4" s="77">
        <v>8</v>
      </c>
      <c r="J4" s="77">
        <v>9</v>
      </c>
      <c r="K4" s="77">
        <v>10</v>
      </c>
      <c r="L4" s="77">
        <v>11</v>
      </c>
      <c r="M4" s="77">
        <v>12</v>
      </c>
      <c r="N4" s="78" t="s">
        <v>489</v>
      </c>
      <c r="O4" s="79" t="s">
        <v>490</v>
      </c>
    </row>
    <row r="5" spans="1:15" ht="16.5" x14ac:dyDescent="0.25">
      <c r="A5" s="80" t="s">
        <v>24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>
        <f>SUM(B5:M5)</f>
        <v>0</v>
      </c>
      <c r="O5" s="82"/>
    </row>
    <row r="6" spans="1:15" ht="16.5" x14ac:dyDescent="0.25">
      <c r="A6" s="83" t="s">
        <v>25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>
        <f t="shared" ref="N6:N20" si="0">SUM(B6:M6)</f>
        <v>0</v>
      </c>
      <c r="O6" s="82"/>
    </row>
    <row r="7" spans="1:15" ht="16.5" x14ac:dyDescent="0.25">
      <c r="A7" s="83" t="s">
        <v>26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>
        <f t="shared" si="0"/>
        <v>0</v>
      </c>
      <c r="O7" s="82"/>
    </row>
    <row r="8" spans="1:15" ht="16.5" x14ac:dyDescent="0.25">
      <c r="A8" s="83" t="s">
        <v>27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>
        <f t="shared" si="0"/>
        <v>0</v>
      </c>
      <c r="O8" s="82"/>
    </row>
    <row r="9" spans="1:15" ht="16.5" x14ac:dyDescent="0.25">
      <c r="A9" s="83" t="s">
        <v>28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>
        <f t="shared" si="0"/>
        <v>0</v>
      </c>
      <c r="O9" s="82"/>
    </row>
    <row r="10" spans="1:15" ht="16.5" x14ac:dyDescent="0.25">
      <c r="A10" s="83" t="s">
        <v>29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>
        <f t="shared" si="0"/>
        <v>0</v>
      </c>
      <c r="O10" s="82"/>
    </row>
    <row r="11" spans="1:15" ht="16.5" x14ac:dyDescent="0.25">
      <c r="A11" s="83" t="s">
        <v>30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>
        <f t="shared" si="0"/>
        <v>0</v>
      </c>
      <c r="O11" s="82"/>
    </row>
    <row r="12" spans="1:15" ht="16.5" x14ac:dyDescent="0.25">
      <c r="A12" s="83" t="s">
        <v>31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>
        <f t="shared" si="0"/>
        <v>0</v>
      </c>
      <c r="O12" s="82"/>
    </row>
    <row r="13" spans="1:15" ht="16.5" x14ac:dyDescent="0.25">
      <c r="A13" s="83" t="s">
        <v>32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>
        <f t="shared" si="0"/>
        <v>0</v>
      </c>
      <c r="O13" s="82"/>
    </row>
    <row r="14" spans="1:15" ht="16.5" x14ac:dyDescent="0.25">
      <c r="A14" s="83" t="s">
        <v>33</v>
      </c>
      <c r="B14" s="81"/>
      <c r="C14" s="81"/>
      <c r="D14" s="81"/>
      <c r="E14" s="81"/>
      <c r="F14" s="81">
        <v>350123</v>
      </c>
      <c r="G14" s="81"/>
      <c r="H14" s="81"/>
      <c r="I14" s="81"/>
      <c r="J14" s="81"/>
      <c r="K14" s="81"/>
      <c r="L14" s="81"/>
      <c r="M14" s="81"/>
      <c r="N14" s="81">
        <f t="shared" si="0"/>
        <v>350123</v>
      </c>
      <c r="O14" s="82"/>
    </row>
    <row r="15" spans="1:15" ht="16.5" x14ac:dyDescent="0.25">
      <c r="A15" s="83" t="s">
        <v>34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>
        <f t="shared" si="0"/>
        <v>0</v>
      </c>
      <c r="O15" s="82"/>
    </row>
    <row r="16" spans="1:15" ht="16.5" x14ac:dyDescent="0.25">
      <c r="A16" s="83" t="s">
        <v>35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>
        <f t="shared" si="0"/>
        <v>0</v>
      </c>
      <c r="O16" s="82"/>
    </row>
    <row r="17" spans="1:15" ht="16.5" x14ac:dyDescent="0.25">
      <c r="A17" s="83" t="s">
        <v>36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>
        <f t="shared" si="0"/>
        <v>0</v>
      </c>
      <c r="O17" s="82"/>
    </row>
    <row r="18" spans="1:15" ht="16.5" x14ac:dyDescent="0.25">
      <c r="A18" s="83" t="s">
        <v>37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>
        <f t="shared" si="0"/>
        <v>0</v>
      </c>
      <c r="O18" s="82"/>
    </row>
    <row r="19" spans="1:15" ht="16.5" x14ac:dyDescent="0.25">
      <c r="A19" s="83" t="s">
        <v>476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>
        <f t="shared" si="0"/>
        <v>0</v>
      </c>
      <c r="O19" s="82"/>
    </row>
    <row r="20" spans="1:15" ht="16.5" x14ac:dyDescent="0.25">
      <c r="A20" s="83" t="s">
        <v>38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>
        <f t="shared" si="0"/>
        <v>0</v>
      </c>
      <c r="O20" s="82"/>
    </row>
    <row r="21" spans="1:15" ht="16.5" thickBot="1" x14ac:dyDescent="0.3">
      <c r="A21" s="84" t="s">
        <v>39</v>
      </c>
      <c r="B21" s="85">
        <f>SUM(B5:B20)</f>
        <v>0</v>
      </c>
      <c r="C21" s="85">
        <f t="shared" ref="C21:N21" si="1">SUM(C5:C20)</f>
        <v>0</v>
      </c>
      <c r="D21" s="85">
        <f t="shared" si="1"/>
        <v>0</v>
      </c>
      <c r="E21" s="85">
        <f t="shared" si="1"/>
        <v>0</v>
      </c>
      <c r="F21" s="85">
        <f t="shared" si="1"/>
        <v>350123</v>
      </c>
      <c r="G21" s="85">
        <f t="shared" si="1"/>
        <v>0</v>
      </c>
      <c r="H21" s="85">
        <f t="shared" si="1"/>
        <v>0</v>
      </c>
      <c r="I21" s="85">
        <f t="shared" si="1"/>
        <v>0</v>
      </c>
      <c r="J21" s="85">
        <f t="shared" si="1"/>
        <v>0</v>
      </c>
      <c r="K21" s="85">
        <f t="shared" si="1"/>
        <v>0</v>
      </c>
      <c r="L21" s="85">
        <f t="shared" si="1"/>
        <v>0</v>
      </c>
      <c r="M21" s="85">
        <f t="shared" si="1"/>
        <v>0</v>
      </c>
      <c r="N21" s="85">
        <f t="shared" si="1"/>
        <v>350123</v>
      </c>
      <c r="O21" s="86">
        <f>SUM(O5:O20)</f>
        <v>0</v>
      </c>
    </row>
  </sheetData>
  <mergeCells count="2">
    <mergeCell ref="A1:O1"/>
    <mergeCell ref="N3:O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selection activeCell="K18" sqref="K18"/>
    </sheetView>
  </sheetViews>
  <sheetFormatPr defaultColWidth="9" defaultRowHeight="15" x14ac:dyDescent="0.25"/>
  <cols>
    <col min="1" max="1" width="9" style="1"/>
    <col min="2" max="2" width="20" style="1" bestFit="1" customWidth="1"/>
    <col min="3" max="3" width="17.28515625" style="1" customWidth="1"/>
    <col min="4" max="4" width="10.7109375" style="104" bestFit="1" customWidth="1"/>
    <col min="5" max="5" width="79.5703125" style="1" customWidth="1"/>
    <col min="6" max="6" width="1.7109375" style="1" customWidth="1"/>
    <col min="7" max="7" width="1.85546875" style="1" customWidth="1"/>
    <col min="8" max="8" width="11.5703125" style="1" customWidth="1"/>
    <col min="9" max="9" width="10.7109375" style="1" bestFit="1" customWidth="1"/>
    <col min="10" max="16384" width="9" style="1"/>
  </cols>
  <sheetData>
    <row r="1" spans="1:9" ht="46.15" customHeight="1" x14ac:dyDescent="0.25">
      <c r="A1" s="96" t="s">
        <v>496</v>
      </c>
      <c r="B1" s="96"/>
      <c r="C1" s="96"/>
      <c r="D1" s="97"/>
      <c r="E1" s="96"/>
    </row>
    <row r="2" spans="1:9" x14ac:dyDescent="0.25">
      <c r="A2" s="98" t="s">
        <v>497</v>
      </c>
      <c r="B2" s="135" t="s">
        <v>498</v>
      </c>
      <c r="C2" s="135"/>
      <c r="D2" s="99" t="s">
        <v>499</v>
      </c>
      <c r="E2" s="98" t="s">
        <v>500</v>
      </c>
      <c r="H2" s="136" t="s">
        <v>501</v>
      </c>
      <c r="I2" s="136"/>
    </row>
    <row r="3" spans="1:9" x14ac:dyDescent="0.25">
      <c r="A3" s="98">
        <v>1</v>
      </c>
      <c r="B3" s="135" t="s">
        <v>502</v>
      </c>
      <c r="C3" s="135"/>
      <c r="D3" s="99" t="s">
        <v>503</v>
      </c>
      <c r="E3" s="2" t="s">
        <v>504</v>
      </c>
      <c r="H3" s="100" t="s">
        <v>505</v>
      </c>
      <c r="I3" s="100" t="s">
        <v>506</v>
      </c>
    </row>
    <row r="4" spans="1:9" x14ac:dyDescent="0.25">
      <c r="A4" s="98">
        <v>2</v>
      </c>
      <c r="B4" s="135" t="s">
        <v>507</v>
      </c>
      <c r="C4" s="135"/>
      <c r="D4" s="99" t="s">
        <v>508</v>
      </c>
      <c r="E4" s="2" t="s">
        <v>509</v>
      </c>
      <c r="H4" s="100" t="s">
        <v>510</v>
      </c>
      <c r="I4" s="100" t="s">
        <v>511</v>
      </c>
    </row>
    <row r="5" spans="1:9" ht="17.45" customHeight="1" x14ac:dyDescent="0.3">
      <c r="A5" s="98">
        <v>3</v>
      </c>
      <c r="B5" s="135" t="s">
        <v>512</v>
      </c>
      <c r="C5" s="135"/>
      <c r="D5" s="101" t="s">
        <v>503</v>
      </c>
      <c r="E5" s="2" t="s">
        <v>513</v>
      </c>
      <c r="H5" s="100" t="s">
        <v>514</v>
      </c>
      <c r="I5" s="100" t="s">
        <v>515</v>
      </c>
    </row>
    <row r="6" spans="1:9" x14ac:dyDescent="0.25">
      <c r="A6" s="98">
        <v>4</v>
      </c>
      <c r="B6" s="135" t="s">
        <v>516</v>
      </c>
      <c r="C6" s="135"/>
      <c r="D6" s="99" t="s">
        <v>517</v>
      </c>
      <c r="E6" s="2" t="s">
        <v>518</v>
      </c>
      <c r="H6" s="100" t="s">
        <v>519</v>
      </c>
      <c r="I6" s="100" t="s">
        <v>520</v>
      </c>
    </row>
    <row r="7" spans="1:9" x14ac:dyDescent="0.25">
      <c r="A7" s="98">
        <v>5</v>
      </c>
      <c r="B7" s="135" t="s">
        <v>521</v>
      </c>
      <c r="C7" s="135"/>
      <c r="D7" s="99" t="s">
        <v>517</v>
      </c>
      <c r="E7" s="2" t="s">
        <v>522</v>
      </c>
      <c r="H7" s="100" t="s">
        <v>523</v>
      </c>
      <c r="I7" s="100" t="s">
        <v>524</v>
      </c>
    </row>
    <row r="8" spans="1:9" x14ac:dyDescent="0.25">
      <c r="A8" s="98">
        <v>6</v>
      </c>
      <c r="B8" s="135" t="s">
        <v>525</v>
      </c>
      <c r="C8" s="135"/>
      <c r="D8" s="99" t="s">
        <v>526</v>
      </c>
      <c r="E8" s="102" t="s">
        <v>527</v>
      </c>
      <c r="H8" s="100" t="s">
        <v>528</v>
      </c>
      <c r="I8" s="100" t="s">
        <v>529</v>
      </c>
    </row>
    <row r="9" spans="1:9" x14ac:dyDescent="0.25">
      <c r="A9" s="98">
        <v>7</v>
      </c>
      <c r="B9" s="135" t="s">
        <v>530</v>
      </c>
      <c r="C9" s="135"/>
      <c r="D9" s="99" t="s">
        <v>531</v>
      </c>
      <c r="E9" s="2" t="s">
        <v>532</v>
      </c>
      <c r="H9" s="100" t="s">
        <v>533</v>
      </c>
      <c r="I9" s="100" t="s">
        <v>534</v>
      </c>
    </row>
    <row r="10" spans="1:9" x14ac:dyDescent="0.25">
      <c r="A10" s="98">
        <v>8</v>
      </c>
      <c r="B10" s="135" t="s">
        <v>535</v>
      </c>
      <c r="C10" s="135"/>
      <c r="D10" s="99" t="s">
        <v>536</v>
      </c>
      <c r="E10" s="2" t="s">
        <v>537</v>
      </c>
    </row>
    <row r="11" spans="1:9" x14ac:dyDescent="0.25">
      <c r="A11" s="98">
        <v>9</v>
      </c>
      <c r="B11" s="135" t="s">
        <v>538</v>
      </c>
      <c r="C11" s="135"/>
      <c r="D11" s="99" t="s">
        <v>536</v>
      </c>
      <c r="E11" s="2" t="s">
        <v>537</v>
      </c>
    </row>
    <row r="12" spans="1:9" x14ac:dyDescent="0.25">
      <c r="A12" s="98">
        <v>10</v>
      </c>
      <c r="B12" s="135" t="s">
        <v>539</v>
      </c>
      <c r="C12" s="135"/>
      <c r="D12" s="99" t="s">
        <v>536</v>
      </c>
      <c r="E12" s="2" t="s">
        <v>537</v>
      </c>
    </row>
    <row r="13" spans="1:9" x14ac:dyDescent="0.25">
      <c r="A13" s="98">
        <v>11</v>
      </c>
      <c r="B13" s="135" t="s">
        <v>540</v>
      </c>
      <c r="C13" s="135"/>
      <c r="D13" s="99" t="s">
        <v>536</v>
      </c>
      <c r="E13" s="2" t="s">
        <v>537</v>
      </c>
    </row>
    <row r="14" spans="1:9" x14ac:dyDescent="0.25">
      <c r="A14" s="98">
        <v>12</v>
      </c>
      <c r="B14" s="137" t="s">
        <v>541</v>
      </c>
      <c r="C14" s="2" t="s">
        <v>542</v>
      </c>
      <c r="D14" s="99" t="s">
        <v>543</v>
      </c>
      <c r="E14" s="100" t="s">
        <v>544</v>
      </c>
    </row>
    <row r="15" spans="1:9" x14ac:dyDescent="0.25">
      <c r="A15" s="98">
        <v>13</v>
      </c>
      <c r="B15" s="138"/>
      <c r="C15" s="2" t="s">
        <v>545</v>
      </c>
      <c r="D15" s="99" t="s">
        <v>543</v>
      </c>
      <c r="E15" s="102" t="s">
        <v>546</v>
      </c>
    </row>
    <row r="16" spans="1:9" x14ac:dyDescent="0.25">
      <c r="A16" s="98">
        <v>14</v>
      </c>
      <c r="B16" s="138"/>
      <c r="C16" s="2" t="s">
        <v>547</v>
      </c>
      <c r="D16" s="99" t="s">
        <v>543</v>
      </c>
      <c r="E16" s="102" t="s">
        <v>546</v>
      </c>
    </row>
    <row r="17" spans="1:5" x14ac:dyDescent="0.25">
      <c r="A17" s="98">
        <v>15</v>
      </c>
      <c r="B17" s="139" t="s">
        <v>548</v>
      </c>
      <c r="C17" s="2" t="s">
        <v>542</v>
      </c>
      <c r="D17" s="99" t="s">
        <v>543</v>
      </c>
      <c r="E17" s="100"/>
    </row>
    <row r="18" spans="1:5" x14ac:dyDescent="0.25">
      <c r="A18" s="98">
        <v>16</v>
      </c>
      <c r="B18" s="140"/>
      <c r="C18" s="2" t="s">
        <v>545</v>
      </c>
      <c r="D18" s="99" t="s">
        <v>543</v>
      </c>
      <c r="E18" s="102" t="s">
        <v>546</v>
      </c>
    </row>
    <row r="19" spans="1:5" x14ac:dyDescent="0.25">
      <c r="A19" s="98">
        <v>17</v>
      </c>
      <c r="B19" s="140"/>
      <c r="C19" s="2" t="s">
        <v>547</v>
      </c>
      <c r="D19" s="99" t="s">
        <v>543</v>
      </c>
      <c r="E19" s="102" t="s">
        <v>546</v>
      </c>
    </row>
    <row r="20" spans="1:5" x14ac:dyDescent="0.25">
      <c r="A20" s="98">
        <v>18</v>
      </c>
      <c r="B20" s="140"/>
      <c r="C20" s="2" t="s">
        <v>549</v>
      </c>
      <c r="D20" s="99" t="s">
        <v>543</v>
      </c>
      <c r="E20" s="100" t="s">
        <v>550</v>
      </c>
    </row>
    <row r="21" spans="1:5" x14ac:dyDescent="0.25">
      <c r="A21" s="98">
        <v>19</v>
      </c>
      <c r="B21" s="2" t="s">
        <v>551</v>
      </c>
      <c r="C21" s="2"/>
      <c r="D21" s="99" t="s">
        <v>526</v>
      </c>
      <c r="E21" s="2" t="s">
        <v>552</v>
      </c>
    </row>
    <row r="22" spans="1:5" x14ac:dyDescent="0.25">
      <c r="A22" s="103"/>
    </row>
    <row r="23" spans="1:5" x14ac:dyDescent="0.25">
      <c r="A23" s="103"/>
    </row>
    <row r="24" spans="1:5" x14ac:dyDescent="0.25">
      <c r="A24" s="103"/>
    </row>
    <row r="25" spans="1:5" x14ac:dyDescent="0.25">
      <c r="A25" s="103"/>
    </row>
    <row r="26" spans="1:5" x14ac:dyDescent="0.25">
      <c r="A26" s="103"/>
    </row>
    <row r="27" spans="1:5" x14ac:dyDescent="0.25">
      <c r="A27" s="103"/>
    </row>
    <row r="29" spans="1:5" ht="21.6" customHeight="1" x14ac:dyDescent="0.25">
      <c r="A29" s="105" t="s">
        <v>553</v>
      </c>
    </row>
  </sheetData>
  <mergeCells count="15">
    <mergeCell ref="B13:C13"/>
    <mergeCell ref="B14:B16"/>
    <mergeCell ref="B17:B20"/>
    <mergeCell ref="B7:C7"/>
    <mergeCell ref="B8:C8"/>
    <mergeCell ref="B9:C9"/>
    <mergeCell ref="B10:C10"/>
    <mergeCell ref="B11:C11"/>
    <mergeCell ref="B12:C12"/>
    <mergeCell ref="B6:C6"/>
    <mergeCell ref="B2:C2"/>
    <mergeCell ref="H2:I2"/>
    <mergeCell ref="B3:C3"/>
    <mergeCell ref="B4:C4"/>
    <mergeCell ref="B5:C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6"/>
  <sheetViews>
    <sheetView workbookViewId="0">
      <selection activeCell="D17" sqref="D17"/>
    </sheetView>
  </sheetViews>
  <sheetFormatPr defaultColWidth="9" defaultRowHeight="15" x14ac:dyDescent="0.25"/>
  <cols>
    <col min="1" max="1" width="19.42578125" style="1" customWidth="1"/>
    <col min="2" max="2" width="60.42578125" style="1" customWidth="1"/>
    <col min="3" max="16384" width="9" style="1"/>
  </cols>
  <sheetData>
    <row r="1" spans="1:2" x14ac:dyDescent="0.25">
      <c r="A1" s="2" t="s">
        <v>47</v>
      </c>
      <c r="B1" s="2" t="s">
        <v>48</v>
      </c>
    </row>
    <row r="2" spans="1:2" x14ac:dyDescent="0.25">
      <c r="A2" s="2" t="s">
        <v>49</v>
      </c>
      <c r="B2" s="2" t="s">
        <v>50</v>
      </c>
    </row>
    <row r="3" spans="1:2" x14ac:dyDescent="0.25">
      <c r="A3" s="2" t="s">
        <v>51</v>
      </c>
      <c r="B3" s="2" t="s">
        <v>52</v>
      </c>
    </row>
    <row r="4" spans="1:2" x14ac:dyDescent="0.25">
      <c r="A4" s="2" t="s">
        <v>53</v>
      </c>
      <c r="B4" s="2" t="s">
        <v>54</v>
      </c>
    </row>
    <row r="5" spans="1:2" x14ac:dyDescent="0.25">
      <c r="A5" s="2" t="s">
        <v>55</v>
      </c>
      <c r="B5" s="2" t="s">
        <v>56</v>
      </c>
    </row>
    <row r="6" spans="1:2" x14ac:dyDescent="0.25">
      <c r="A6" s="2" t="s">
        <v>57</v>
      </c>
      <c r="B6" s="2" t="s">
        <v>58</v>
      </c>
    </row>
    <row r="7" spans="1:2" x14ac:dyDescent="0.25">
      <c r="A7" s="2" t="s">
        <v>59</v>
      </c>
      <c r="B7" s="2" t="s">
        <v>60</v>
      </c>
    </row>
    <row r="8" spans="1:2" x14ac:dyDescent="0.25">
      <c r="A8" s="2" t="s">
        <v>61</v>
      </c>
      <c r="B8" s="2" t="s">
        <v>62</v>
      </c>
    </row>
    <row r="9" spans="1:2" x14ac:dyDescent="0.25">
      <c r="A9" s="2" t="s">
        <v>63</v>
      </c>
      <c r="B9" s="2" t="s">
        <v>64</v>
      </c>
    </row>
    <row r="10" spans="1:2" x14ac:dyDescent="0.25">
      <c r="A10" s="2" t="s">
        <v>65</v>
      </c>
      <c r="B10" s="2" t="s">
        <v>66</v>
      </c>
    </row>
    <row r="11" spans="1:2" x14ac:dyDescent="0.25">
      <c r="A11" s="2" t="s">
        <v>67</v>
      </c>
      <c r="B11" s="2" t="s">
        <v>68</v>
      </c>
    </row>
    <row r="12" spans="1:2" x14ac:dyDescent="0.25">
      <c r="A12" s="2" t="s">
        <v>69</v>
      </c>
      <c r="B12" s="2" t="s">
        <v>70</v>
      </c>
    </row>
    <row r="13" spans="1:2" x14ac:dyDescent="0.25">
      <c r="A13" s="2" t="s">
        <v>71</v>
      </c>
      <c r="B13" s="2" t="s">
        <v>72</v>
      </c>
    </row>
    <row r="14" spans="1:2" x14ac:dyDescent="0.25">
      <c r="A14" s="2" t="s">
        <v>73</v>
      </c>
      <c r="B14" s="2" t="s">
        <v>74</v>
      </c>
    </row>
    <row r="15" spans="1:2" x14ac:dyDescent="0.25">
      <c r="A15" s="2" t="s">
        <v>75</v>
      </c>
      <c r="B15" s="2" t="s">
        <v>76</v>
      </c>
    </row>
    <row r="16" spans="1:2" x14ac:dyDescent="0.25">
      <c r="A16" s="2" t="s">
        <v>77</v>
      </c>
      <c r="B16" s="2" t="s">
        <v>78</v>
      </c>
    </row>
    <row r="17" spans="1:2" x14ac:dyDescent="0.25">
      <c r="A17" s="2" t="s">
        <v>79</v>
      </c>
      <c r="B17" s="2" t="s">
        <v>80</v>
      </c>
    </row>
    <row r="18" spans="1:2" x14ac:dyDescent="0.25">
      <c r="A18" s="2" t="s">
        <v>81</v>
      </c>
      <c r="B18" s="2" t="s">
        <v>82</v>
      </c>
    </row>
    <row r="19" spans="1:2" x14ac:dyDescent="0.25">
      <c r="A19" s="2" t="s">
        <v>83</v>
      </c>
      <c r="B19" s="2" t="s">
        <v>84</v>
      </c>
    </row>
    <row r="20" spans="1:2" x14ac:dyDescent="0.25">
      <c r="A20" s="2" t="s">
        <v>85</v>
      </c>
      <c r="B20" s="2" t="s">
        <v>86</v>
      </c>
    </row>
    <row r="21" spans="1:2" x14ac:dyDescent="0.25">
      <c r="A21" s="2" t="s">
        <v>87</v>
      </c>
      <c r="B21" s="2" t="s">
        <v>88</v>
      </c>
    </row>
    <row r="22" spans="1:2" x14ac:dyDescent="0.25">
      <c r="A22" s="2" t="s">
        <v>89</v>
      </c>
      <c r="B22" s="2" t="s">
        <v>90</v>
      </c>
    </row>
    <row r="23" spans="1:2" x14ac:dyDescent="0.25">
      <c r="A23" s="2" t="s">
        <v>91</v>
      </c>
      <c r="B23" s="2" t="s">
        <v>92</v>
      </c>
    </row>
    <row r="24" spans="1:2" x14ac:dyDescent="0.25">
      <c r="A24" s="2" t="s">
        <v>93</v>
      </c>
      <c r="B24" s="2" t="s">
        <v>94</v>
      </c>
    </row>
    <row r="25" spans="1:2" x14ac:dyDescent="0.25">
      <c r="A25" s="2" t="s">
        <v>95</v>
      </c>
      <c r="B25" s="2" t="s">
        <v>96</v>
      </c>
    </row>
    <row r="26" spans="1:2" x14ac:dyDescent="0.25">
      <c r="A26" s="2" t="s">
        <v>97</v>
      </c>
      <c r="B26" s="2" t="s">
        <v>98</v>
      </c>
    </row>
    <row r="27" spans="1:2" x14ac:dyDescent="0.25">
      <c r="A27" s="2" t="s">
        <v>99</v>
      </c>
      <c r="B27" s="2" t="s">
        <v>100</v>
      </c>
    </row>
    <row r="28" spans="1:2" x14ac:dyDescent="0.25">
      <c r="A28" s="2" t="s">
        <v>101</v>
      </c>
      <c r="B28" s="2" t="s">
        <v>102</v>
      </c>
    </row>
    <row r="29" spans="1:2" x14ac:dyDescent="0.25">
      <c r="A29" s="2" t="s">
        <v>103</v>
      </c>
      <c r="B29" s="2" t="s">
        <v>104</v>
      </c>
    </row>
    <row r="30" spans="1:2" x14ac:dyDescent="0.25">
      <c r="A30" s="2" t="s">
        <v>105</v>
      </c>
      <c r="B30" s="2" t="s">
        <v>106</v>
      </c>
    </row>
    <row r="31" spans="1:2" x14ac:dyDescent="0.25">
      <c r="A31" s="2" t="s">
        <v>107</v>
      </c>
      <c r="B31" s="2" t="s">
        <v>108</v>
      </c>
    </row>
    <row r="32" spans="1:2" x14ac:dyDescent="0.25">
      <c r="A32" s="2" t="s">
        <v>109</v>
      </c>
      <c r="B32" s="2" t="s">
        <v>110</v>
      </c>
    </row>
    <row r="33" spans="1:2" x14ac:dyDescent="0.25">
      <c r="A33" s="2" t="s">
        <v>111</v>
      </c>
      <c r="B33" s="2" t="s">
        <v>104</v>
      </c>
    </row>
    <row r="34" spans="1:2" x14ac:dyDescent="0.25">
      <c r="A34" s="2" t="s">
        <v>112</v>
      </c>
      <c r="B34" s="2" t="s">
        <v>113</v>
      </c>
    </row>
    <row r="35" spans="1:2" x14ac:dyDescent="0.25">
      <c r="A35" s="2" t="s">
        <v>114</v>
      </c>
      <c r="B35" s="2" t="s">
        <v>115</v>
      </c>
    </row>
    <row r="36" spans="1:2" x14ac:dyDescent="0.25">
      <c r="A36" s="2" t="s">
        <v>116</v>
      </c>
      <c r="B36" s="2" t="s">
        <v>117</v>
      </c>
    </row>
    <row r="37" spans="1:2" x14ac:dyDescent="0.25">
      <c r="A37" s="2" t="s">
        <v>118</v>
      </c>
      <c r="B37" s="2" t="s">
        <v>119</v>
      </c>
    </row>
    <row r="38" spans="1:2" x14ac:dyDescent="0.25">
      <c r="A38" s="2" t="s">
        <v>120</v>
      </c>
      <c r="B38" s="2" t="s">
        <v>121</v>
      </c>
    </row>
    <row r="39" spans="1:2" x14ac:dyDescent="0.25">
      <c r="A39" s="2" t="s">
        <v>122</v>
      </c>
      <c r="B39" s="2" t="s">
        <v>123</v>
      </c>
    </row>
    <row r="40" spans="1:2" x14ac:dyDescent="0.25">
      <c r="A40" s="2" t="s">
        <v>124</v>
      </c>
      <c r="B40" s="2" t="s">
        <v>125</v>
      </c>
    </row>
    <row r="41" spans="1:2" x14ac:dyDescent="0.25">
      <c r="A41" s="2" t="s">
        <v>126</v>
      </c>
      <c r="B41" s="2" t="s">
        <v>127</v>
      </c>
    </row>
    <row r="42" spans="1:2" x14ac:dyDescent="0.25">
      <c r="A42" s="2" t="s">
        <v>128</v>
      </c>
      <c r="B42" s="2" t="s">
        <v>129</v>
      </c>
    </row>
    <row r="43" spans="1:2" x14ac:dyDescent="0.25">
      <c r="A43" s="2" t="s">
        <v>130</v>
      </c>
      <c r="B43" s="2" t="s">
        <v>131</v>
      </c>
    </row>
    <row r="44" spans="1:2" x14ac:dyDescent="0.25">
      <c r="A44" s="2" t="s">
        <v>132</v>
      </c>
      <c r="B44" s="2" t="s">
        <v>133</v>
      </c>
    </row>
    <row r="45" spans="1:2" x14ac:dyDescent="0.25">
      <c r="A45" s="2" t="s">
        <v>134</v>
      </c>
      <c r="B45" s="2" t="s">
        <v>135</v>
      </c>
    </row>
    <row r="46" spans="1:2" x14ac:dyDescent="0.25">
      <c r="A46" s="2" t="s">
        <v>136</v>
      </c>
      <c r="B46" s="2" t="s">
        <v>137</v>
      </c>
    </row>
    <row r="47" spans="1:2" x14ac:dyDescent="0.25">
      <c r="A47" s="2" t="s">
        <v>138</v>
      </c>
      <c r="B47" s="2" t="s">
        <v>139</v>
      </c>
    </row>
    <row r="48" spans="1:2" x14ac:dyDescent="0.25">
      <c r="A48" s="2" t="s">
        <v>140</v>
      </c>
      <c r="B48" s="2" t="s">
        <v>141</v>
      </c>
    </row>
    <row r="49" spans="1:2" x14ac:dyDescent="0.25">
      <c r="A49" s="2" t="s">
        <v>142</v>
      </c>
      <c r="B49" s="2" t="s">
        <v>143</v>
      </c>
    </row>
    <row r="50" spans="1:2" x14ac:dyDescent="0.25">
      <c r="A50" s="2" t="s">
        <v>144</v>
      </c>
      <c r="B50" s="2" t="s">
        <v>145</v>
      </c>
    </row>
    <row r="51" spans="1:2" x14ac:dyDescent="0.25">
      <c r="A51" s="2" t="s">
        <v>146</v>
      </c>
      <c r="B51" s="2" t="s">
        <v>147</v>
      </c>
    </row>
    <row r="52" spans="1:2" x14ac:dyDescent="0.25">
      <c r="A52" s="2" t="s">
        <v>148</v>
      </c>
      <c r="B52" s="2" t="s">
        <v>149</v>
      </c>
    </row>
    <row r="53" spans="1:2" x14ac:dyDescent="0.25">
      <c r="A53" s="2" t="s">
        <v>150</v>
      </c>
      <c r="B53" s="2" t="s">
        <v>151</v>
      </c>
    </row>
    <row r="54" spans="1:2" x14ac:dyDescent="0.25">
      <c r="A54" s="2" t="s">
        <v>152</v>
      </c>
      <c r="B54" s="2" t="s">
        <v>153</v>
      </c>
    </row>
    <row r="55" spans="1:2" x14ac:dyDescent="0.25">
      <c r="A55" s="2" t="s">
        <v>154</v>
      </c>
      <c r="B55" s="2" t="s">
        <v>155</v>
      </c>
    </row>
    <row r="56" spans="1:2" x14ac:dyDescent="0.25">
      <c r="A56" s="2" t="s">
        <v>156</v>
      </c>
      <c r="B56" s="2" t="s">
        <v>157</v>
      </c>
    </row>
    <row r="57" spans="1:2" x14ac:dyDescent="0.25">
      <c r="A57" s="2" t="s">
        <v>158</v>
      </c>
      <c r="B57" s="2" t="s">
        <v>159</v>
      </c>
    </row>
    <row r="58" spans="1:2" x14ac:dyDescent="0.25">
      <c r="A58" s="2" t="s">
        <v>160</v>
      </c>
      <c r="B58" s="2" t="s">
        <v>161</v>
      </c>
    </row>
    <row r="59" spans="1:2" x14ac:dyDescent="0.25">
      <c r="A59" s="2" t="s">
        <v>162</v>
      </c>
      <c r="B59" s="2" t="s">
        <v>163</v>
      </c>
    </row>
    <row r="60" spans="1:2" x14ac:dyDescent="0.25">
      <c r="A60" s="2" t="s">
        <v>164</v>
      </c>
      <c r="B60" s="2" t="s">
        <v>165</v>
      </c>
    </row>
    <row r="61" spans="1:2" x14ac:dyDescent="0.25">
      <c r="A61" s="2" t="s">
        <v>166</v>
      </c>
      <c r="B61" s="2" t="s">
        <v>167</v>
      </c>
    </row>
    <row r="62" spans="1:2" x14ac:dyDescent="0.25">
      <c r="A62" s="2" t="s">
        <v>168</v>
      </c>
      <c r="B62" s="2" t="s">
        <v>169</v>
      </c>
    </row>
    <row r="63" spans="1:2" x14ac:dyDescent="0.25">
      <c r="A63" s="2" t="s">
        <v>170</v>
      </c>
      <c r="B63" s="2" t="s">
        <v>171</v>
      </c>
    </row>
    <row r="64" spans="1:2" x14ac:dyDescent="0.25">
      <c r="A64" s="2" t="s">
        <v>172</v>
      </c>
      <c r="B64" s="2" t="s">
        <v>173</v>
      </c>
    </row>
    <row r="65" spans="1:2" x14ac:dyDescent="0.25">
      <c r="A65" s="2" t="s">
        <v>174</v>
      </c>
      <c r="B65" s="2" t="s">
        <v>175</v>
      </c>
    </row>
    <row r="66" spans="1:2" x14ac:dyDescent="0.25">
      <c r="A66" s="2" t="s">
        <v>176</v>
      </c>
      <c r="B66" s="2" t="s">
        <v>177</v>
      </c>
    </row>
    <row r="67" spans="1:2" x14ac:dyDescent="0.25">
      <c r="A67" s="2" t="s">
        <v>178</v>
      </c>
      <c r="B67" s="2" t="s">
        <v>179</v>
      </c>
    </row>
    <row r="68" spans="1:2" x14ac:dyDescent="0.25">
      <c r="A68" s="2" t="s">
        <v>180</v>
      </c>
      <c r="B68" s="2" t="s">
        <v>181</v>
      </c>
    </row>
    <row r="69" spans="1:2" x14ac:dyDescent="0.25">
      <c r="A69" s="2" t="s">
        <v>182</v>
      </c>
      <c r="B69" s="2" t="s">
        <v>183</v>
      </c>
    </row>
    <row r="70" spans="1:2" x14ac:dyDescent="0.25">
      <c r="A70" s="2" t="s">
        <v>184</v>
      </c>
      <c r="B70" s="2" t="s">
        <v>185</v>
      </c>
    </row>
    <row r="71" spans="1:2" x14ac:dyDescent="0.25">
      <c r="A71" s="2" t="s">
        <v>186</v>
      </c>
      <c r="B71" s="2" t="s">
        <v>187</v>
      </c>
    </row>
    <row r="72" spans="1:2" x14ac:dyDescent="0.25">
      <c r="A72" s="2" t="s">
        <v>188</v>
      </c>
      <c r="B72" s="2" t="s">
        <v>189</v>
      </c>
    </row>
    <row r="73" spans="1:2" x14ac:dyDescent="0.25">
      <c r="A73" s="2" t="s">
        <v>190</v>
      </c>
      <c r="B73" s="2" t="s">
        <v>191</v>
      </c>
    </row>
    <row r="74" spans="1:2" x14ac:dyDescent="0.25">
      <c r="A74" s="2" t="s">
        <v>192</v>
      </c>
      <c r="B74" s="2" t="s">
        <v>193</v>
      </c>
    </row>
    <row r="75" spans="1:2" x14ac:dyDescent="0.25">
      <c r="A75" s="2" t="s">
        <v>194</v>
      </c>
      <c r="B75" s="2" t="s">
        <v>195</v>
      </c>
    </row>
    <row r="76" spans="1:2" x14ac:dyDescent="0.25">
      <c r="A76" s="2" t="s">
        <v>196</v>
      </c>
      <c r="B76" s="2" t="s">
        <v>197</v>
      </c>
    </row>
    <row r="77" spans="1:2" x14ac:dyDescent="0.25">
      <c r="A77" s="2" t="s">
        <v>198</v>
      </c>
      <c r="B77" s="2" t="s">
        <v>199</v>
      </c>
    </row>
    <row r="78" spans="1:2" x14ac:dyDescent="0.25">
      <c r="A78" s="2" t="s">
        <v>200</v>
      </c>
      <c r="B78" s="2" t="s">
        <v>201</v>
      </c>
    </row>
    <row r="79" spans="1:2" x14ac:dyDescent="0.25">
      <c r="A79" s="2" t="s">
        <v>202</v>
      </c>
      <c r="B79" s="2" t="s">
        <v>203</v>
      </c>
    </row>
    <row r="80" spans="1:2" x14ac:dyDescent="0.25">
      <c r="A80" s="2" t="s">
        <v>204</v>
      </c>
      <c r="B80" s="2" t="s">
        <v>205</v>
      </c>
    </row>
    <row r="81" spans="1:2" x14ac:dyDescent="0.25">
      <c r="A81" s="2" t="s">
        <v>206</v>
      </c>
      <c r="B81" s="2" t="s">
        <v>207</v>
      </c>
    </row>
    <row r="82" spans="1:2" x14ac:dyDescent="0.25">
      <c r="A82" s="2" t="s">
        <v>208</v>
      </c>
      <c r="B82" s="2" t="s">
        <v>209</v>
      </c>
    </row>
    <row r="83" spans="1:2" x14ac:dyDescent="0.25">
      <c r="A83" s="2" t="s">
        <v>210</v>
      </c>
      <c r="B83" s="2" t="s">
        <v>211</v>
      </c>
    </row>
    <row r="84" spans="1:2" x14ac:dyDescent="0.25">
      <c r="A84" s="2" t="s">
        <v>212</v>
      </c>
      <c r="B84" s="2" t="s">
        <v>213</v>
      </c>
    </row>
    <row r="85" spans="1:2" x14ac:dyDescent="0.25">
      <c r="A85" s="2" t="s">
        <v>214</v>
      </c>
      <c r="B85" s="2" t="s">
        <v>215</v>
      </c>
    </row>
    <row r="86" spans="1:2" x14ac:dyDescent="0.25">
      <c r="A86" s="2" t="s">
        <v>216</v>
      </c>
      <c r="B86" s="2" t="s">
        <v>215</v>
      </c>
    </row>
    <row r="87" spans="1:2" x14ac:dyDescent="0.25">
      <c r="A87" s="2" t="s">
        <v>217</v>
      </c>
      <c r="B87" s="2" t="s">
        <v>218</v>
      </c>
    </row>
    <row r="88" spans="1:2" x14ac:dyDescent="0.25">
      <c r="A88" s="2" t="s">
        <v>219</v>
      </c>
      <c r="B88" s="2" t="s">
        <v>220</v>
      </c>
    </row>
    <row r="89" spans="1:2" x14ac:dyDescent="0.25">
      <c r="A89" s="2" t="s">
        <v>221</v>
      </c>
      <c r="B89" s="2" t="s">
        <v>222</v>
      </c>
    </row>
    <row r="90" spans="1:2" x14ac:dyDescent="0.25">
      <c r="A90" s="2" t="s">
        <v>223</v>
      </c>
      <c r="B90" s="2" t="s">
        <v>224</v>
      </c>
    </row>
    <row r="91" spans="1:2" x14ac:dyDescent="0.25">
      <c r="A91" s="2" t="s">
        <v>225</v>
      </c>
      <c r="B91" s="2" t="s">
        <v>226</v>
      </c>
    </row>
    <row r="92" spans="1:2" x14ac:dyDescent="0.25">
      <c r="A92" s="2" t="s">
        <v>227</v>
      </c>
      <c r="B92" s="2" t="s">
        <v>228</v>
      </c>
    </row>
    <row r="93" spans="1:2" x14ac:dyDescent="0.25">
      <c r="A93" s="2" t="s">
        <v>229</v>
      </c>
      <c r="B93" s="2" t="s">
        <v>230</v>
      </c>
    </row>
    <row r="94" spans="1:2" x14ac:dyDescent="0.25">
      <c r="A94" s="2" t="s">
        <v>231</v>
      </c>
      <c r="B94" s="2" t="s">
        <v>232</v>
      </c>
    </row>
    <row r="95" spans="1:2" x14ac:dyDescent="0.25">
      <c r="A95" s="2" t="s">
        <v>233</v>
      </c>
      <c r="B95" s="2" t="s">
        <v>234</v>
      </c>
    </row>
    <row r="96" spans="1:2" x14ac:dyDescent="0.25">
      <c r="A96" s="2" t="s">
        <v>235</v>
      </c>
      <c r="B96" s="2" t="s">
        <v>236</v>
      </c>
    </row>
    <row r="97" spans="1:2" x14ac:dyDescent="0.25">
      <c r="A97" s="2" t="s">
        <v>237</v>
      </c>
      <c r="B97" s="2" t="s">
        <v>238</v>
      </c>
    </row>
    <row r="98" spans="1:2" x14ac:dyDescent="0.25">
      <c r="A98" s="2" t="s">
        <v>239</v>
      </c>
      <c r="B98" s="2" t="s">
        <v>240</v>
      </c>
    </row>
    <row r="99" spans="1:2" x14ac:dyDescent="0.25">
      <c r="A99" s="2" t="s">
        <v>241</v>
      </c>
      <c r="B99" s="2" t="s">
        <v>242</v>
      </c>
    </row>
    <row r="100" spans="1:2" x14ac:dyDescent="0.25">
      <c r="A100" s="2" t="s">
        <v>243</v>
      </c>
      <c r="B100" s="2" t="s">
        <v>244</v>
      </c>
    </row>
    <row r="101" spans="1:2" x14ac:dyDescent="0.25">
      <c r="A101" s="2" t="s">
        <v>245</v>
      </c>
      <c r="B101" s="2" t="s">
        <v>246</v>
      </c>
    </row>
    <row r="102" spans="1:2" x14ac:dyDescent="0.25">
      <c r="A102" s="2" t="s">
        <v>247</v>
      </c>
      <c r="B102" s="2" t="s">
        <v>248</v>
      </c>
    </row>
    <row r="103" spans="1:2" x14ac:dyDescent="0.25">
      <c r="A103" s="2" t="s">
        <v>249</v>
      </c>
      <c r="B103" s="2" t="s">
        <v>250</v>
      </c>
    </row>
    <row r="104" spans="1:2" x14ac:dyDescent="0.25">
      <c r="A104" s="2" t="s">
        <v>251</v>
      </c>
      <c r="B104" s="2" t="s">
        <v>252</v>
      </c>
    </row>
    <row r="105" spans="1:2" x14ac:dyDescent="0.25">
      <c r="A105" s="2" t="s">
        <v>253</v>
      </c>
      <c r="B105" s="2" t="s">
        <v>254</v>
      </c>
    </row>
    <row r="106" spans="1:2" x14ac:dyDescent="0.25">
      <c r="A106" s="2" t="s">
        <v>255</v>
      </c>
      <c r="B106" s="2" t="s">
        <v>256</v>
      </c>
    </row>
    <row r="107" spans="1:2" x14ac:dyDescent="0.25">
      <c r="A107" s="2" t="s">
        <v>257</v>
      </c>
      <c r="B107" s="2" t="s">
        <v>258</v>
      </c>
    </row>
    <row r="108" spans="1:2" x14ac:dyDescent="0.25">
      <c r="A108" s="2" t="s">
        <v>259</v>
      </c>
      <c r="B108" s="2" t="s">
        <v>260</v>
      </c>
    </row>
    <row r="109" spans="1:2" x14ac:dyDescent="0.25">
      <c r="A109" s="2" t="s">
        <v>261</v>
      </c>
      <c r="B109" s="2" t="s">
        <v>262</v>
      </c>
    </row>
    <row r="110" spans="1:2" x14ac:dyDescent="0.25">
      <c r="A110" s="2" t="s">
        <v>263</v>
      </c>
      <c r="B110" s="2" t="s">
        <v>264</v>
      </c>
    </row>
    <row r="111" spans="1:2" x14ac:dyDescent="0.25">
      <c r="A111" s="2" t="s">
        <v>265</v>
      </c>
      <c r="B111" s="2" t="s">
        <v>266</v>
      </c>
    </row>
    <row r="112" spans="1:2" x14ac:dyDescent="0.25">
      <c r="A112" s="2" t="s">
        <v>267</v>
      </c>
      <c r="B112" s="2" t="s">
        <v>268</v>
      </c>
    </row>
    <row r="113" spans="1:2" x14ac:dyDescent="0.25">
      <c r="A113" s="2" t="s">
        <v>269</v>
      </c>
      <c r="B113" s="2" t="s">
        <v>270</v>
      </c>
    </row>
    <row r="114" spans="1:2" x14ac:dyDescent="0.25">
      <c r="A114" s="2" t="s">
        <v>271</v>
      </c>
      <c r="B114" s="2" t="s">
        <v>272</v>
      </c>
    </row>
    <row r="115" spans="1:2" x14ac:dyDescent="0.25">
      <c r="A115" s="2" t="s">
        <v>273</v>
      </c>
      <c r="B115" s="2" t="s">
        <v>274</v>
      </c>
    </row>
    <row r="116" spans="1:2" x14ac:dyDescent="0.25">
      <c r="A116" s="2" t="s">
        <v>275</v>
      </c>
      <c r="B116" s="2" t="s">
        <v>276</v>
      </c>
    </row>
    <row r="117" spans="1:2" x14ac:dyDescent="0.25">
      <c r="A117" s="2" t="s">
        <v>277</v>
      </c>
      <c r="B117" s="2" t="s">
        <v>278</v>
      </c>
    </row>
    <row r="118" spans="1:2" x14ac:dyDescent="0.25">
      <c r="A118" s="2" t="s">
        <v>279</v>
      </c>
      <c r="B118" s="2" t="s">
        <v>280</v>
      </c>
    </row>
    <row r="119" spans="1:2" x14ac:dyDescent="0.25">
      <c r="A119" s="2" t="s">
        <v>281</v>
      </c>
      <c r="B119" s="2" t="s">
        <v>282</v>
      </c>
    </row>
    <row r="120" spans="1:2" x14ac:dyDescent="0.25">
      <c r="A120" s="2" t="s">
        <v>283</v>
      </c>
      <c r="B120" s="2" t="s">
        <v>284</v>
      </c>
    </row>
    <row r="121" spans="1:2" x14ac:dyDescent="0.25">
      <c r="A121" s="2" t="s">
        <v>285</v>
      </c>
      <c r="B121" s="2" t="s">
        <v>286</v>
      </c>
    </row>
    <row r="122" spans="1:2" x14ac:dyDescent="0.25">
      <c r="A122" s="2" t="s">
        <v>287</v>
      </c>
      <c r="B122" s="2" t="s">
        <v>288</v>
      </c>
    </row>
    <row r="123" spans="1:2" x14ac:dyDescent="0.25">
      <c r="A123" s="2" t="s">
        <v>289</v>
      </c>
      <c r="B123" s="2" t="s">
        <v>290</v>
      </c>
    </row>
    <row r="124" spans="1:2" x14ac:dyDescent="0.25">
      <c r="A124" s="2" t="s">
        <v>291</v>
      </c>
      <c r="B124" s="2" t="s">
        <v>292</v>
      </c>
    </row>
    <row r="125" spans="1:2" x14ac:dyDescent="0.25">
      <c r="A125" s="2" t="s">
        <v>293</v>
      </c>
      <c r="B125" s="2" t="s">
        <v>294</v>
      </c>
    </row>
    <row r="126" spans="1:2" x14ac:dyDescent="0.25">
      <c r="A126" s="2" t="s">
        <v>295</v>
      </c>
      <c r="B126" s="2" t="s">
        <v>296</v>
      </c>
    </row>
    <row r="127" spans="1:2" x14ac:dyDescent="0.25">
      <c r="A127" s="2" t="s">
        <v>297</v>
      </c>
      <c r="B127" s="2" t="s">
        <v>298</v>
      </c>
    </row>
    <row r="128" spans="1:2" x14ac:dyDescent="0.25">
      <c r="A128" s="2" t="s">
        <v>299</v>
      </c>
      <c r="B128" s="2" t="s">
        <v>300</v>
      </c>
    </row>
    <row r="129" spans="1:2" x14ac:dyDescent="0.25">
      <c r="A129" s="2" t="s">
        <v>301</v>
      </c>
      <c r="B129" s="2" t="s">
        <v>302</v>
      </c>
    </row>
    <row r="130" spans="1:2" x14ac:dyDescent="0.25">
      <c r="A130" s="2" t="s">
        <v>303</v>
      </c>
      <c r="B130" s="2" t="s">
        <v>304</v>
      </c>
    </row>
    <row r="131" spans="1:2" x14ac:dyDescent="0.25">
      <c r="A131" s="2" t="s">
        <v>305</v>
      </c>
      <c r="B131" s="2" t="s">
        <v>306</v>
      </c>
    </row>
    <row r="132" spans="1:2" x14ac:dyDescent="0.25">
      <c r="A132" s="2" t="s">
        <v>307</v>
      </c>
      <c r="B132" s="2" t="s">
        <v>308</v>
      </c>
    </row>
    <row r="133" spans="1:2" x14ac:dyDescent="0.25">
      <c r="A133" s="2" t="s">
        <v>309</v>
      </c>
      <c r="B133" s="2" t="s">
        <v>310</v>
      </c>
    </row>
    <row r="134" spans="1:2" x14ac:dyDescent="0.25">
      <c r="A134" s="2" t="s">
        <v>311</v>
      </c>
      <c r="B134" s="2" t="s">
        <v>312</v>
      </c>
    </row>
    <row r="135" spans="1:2" x14ac:dyDescent="0.25">
      <c r="A135" s="2" t="s">
        <v>313</v>
      </c>
      <c r="B135" s="2" t="s">
        <v>314</v>
      </c>
    </row>
    <row r="136" spans="1:2" x14ac:dyDescent="0.25">
      <c r="A136" s="2" t="s">
        <v>315</v>
      </c>
      <c r="B136" s="2" t="s">
        <v>316</v>
      </c>
    </row>
    <row r="137" spans="1:2" x14ac:dyDescent="0.25">
      <c r="A137" s="2" t="s">
        <v>317</v>
      </c>
      <c r="B137" s="2" t="s">
        <v>318</v>
      </c>
    </row>
    <row r="138" spans="1:2" x14ac:dyDescent="0.25">
      <c r="A138" s="2" t="s">
        <v>319</v>
      </c>
      <c r="B138" s="2" t="s">
        <v>320</v>
      </c>
    </row>
    <row r="139" spans="1:2" x14ac:dyDescent="0.25">
      <c r="A139" s="2" t="s">
        <v>321</v>
      </c>
      <c r="B139" s="2" t="s">
        <v>322</v>
      </c>
    </row>
    <row r="140" spans="1:2" x14ac:dyDescent="0.25">
      <c r="A140" s="2" t="s">
        <v>323</v>
      </c>
      <c r="B140" s="2" t="s">
        <v>324</v>
      </c>
    </row>
    <row r="141" spans="1:2" x14ac:dyDescent="0.25">
      <c r="A141" s="2" t="s">
        <v>325</v>
      </c>
      <c r="B141" s="2" t="s">
        <v>326</v>
      </c>
    </row>
    <row r="142" spans="1:2" x14ac:dyDescent="0.25">
      <c r="A142" s="2" t="s">
        <v>327</v>
      </c>
      <c r="B142" s="2" t="s">
        <v>326</v>
      </c>
    </row>
    <row r="143" spans="1:2" x14ac:dyDescent="0.25">
      <c r="A143" s="2" t="s">
        <v>328</v>
      </c>
      <c r="B143" s="2" t="s">
        <v>329</v>
      </c>
    </row>
    <row r="144" spans="1:2" x14ac:dyDescent="0.25">
      <c r="A144" s="2" t="s">
        <v>330</v>
      </c>
      <c r="B144" s="2" t="s">
        <v>331</v>
      </c>
    </row>
    <row r="145" spans="1:2" x14ac:dyDescent="0.25">
      <c r="A145" s="2" t="s">
        <v>332</v>
      </c>
      <c r="B145" s="2" t="s">
        <v>333</v>
      </c>
    </row>
    <row r="146" spans="1:2" x14ac:dyDescent="0.25">
      <c r="A146" s="2" t="s">
        <v>334</v>
      </c>
      <c r="B146" s="2" t="s">
        <v>335</v>
      </c>
    </row>
    <row r="147" spans="1:2" x14ac:dyDescent="0.25">
      <c r="A147" s="2" t="s">
        <v>336</v>
      </c>
      <c r="B147" s="2" t="s">
        <v>337</v>
      </c>
    </row>
    <row r="148" spans="1:2" x14ac:dyDescent="0.25">
      <c r="A148" s="2" t="s">
        <v>338</v>
      </c>
      <c r="B148" s="2" t="s">
        <v>339</v>
      </c>
    </row>
    <row r="149" spans="1:2" x14ac:dyDescent="0.25">
      <c r="A149" s="2" t="s">
        <v>340</v>
      </c>
      <c r="B149" s="2" t="s">
        <v>341</v>
      </c>
    </row>
    <row r="150" spans="1:2" x14ac:dyDescent="0.25">
      <c r="A150" s="2" t="s">
        <v>342</v>
      </c>
      <c r="B150" s="2" t="s">
        <v>343</v>
      </c>
    </row>
    <row r="151" spans="1:2" x14ac:dyDescent="0.25">
      <c r="A151" s="2" t="s">
        <v>344</v>
      </c>
      <c r="B151" s="2" t="s">
        <v>345</v>
      </c>
    </row>
    <row r="152" spans="1:2" x14ac:dyDescent="0.25">
      <c r="A152" s="2" t="s">
        <v>346</v>
      </c>
      <c r="B152" s="2" t="s">
        <v>347</v>
      </c>
    </row>
    <row r="153" spans="1:2" x14ac:dyDescent="0.25">
      <c r="A153" s="2" t="s">
        <v>348</v>
      </c>
      <c r="B153" s="2" t="s">
        <v>349</v>
      </c>
    </row>
    <row r="154" spans="1:2" x14ac:dyDescent="0.25">
      <c r="A154" s="2" t="s">
        <v>350</v>
      </c>
      <c r="B154" s="2" t="s">
        <v>351</v>
      </c>
    </row>
    <row r="155" spans="1:2" x14ac:dyDescent="0.25">
      <c r="A155" s="2" t="s">
        <v>352</v>
      </c>
      <c r="B155" s="2" t="s">
        <v>353</v>
      </c>
    </row>
    <row r="156" spans="1:2" x14ac:dyDescent="0.25">
      <c r="A156" s="2" t="s">
        <v>354</v>
      </c>
      <c r="B156" s="2" t="s">
        <v>355</v>
      </c>
    </row>
    <row r="157" spans="1:2" x14ac:dyDescent="0.25">
      <c r="A157" s="2" t="s">
        <v>356</v>
      </c>
      <c r="B157" s="2" t="s">
        <v>357</v>
      </c>
    </row>
    <row r="158" spans="1:2" x14ac:dyDescent="0.25">
      <c r="A158" s="2" t="s">
        <v>358</v>
      </c>
      <c r="B158" s="2" t="s">
        <v>359</v>
      </c>
    </row>
    <row r="159" spans="1:2" x14ac:dyDescent="0.25">
      <c r="A159" s="2" t="s">
        <v>360</v>
      </c>
      <c r="B159" s="2" t="s">
        <v>361</v>
      </c>
    </row>
    <row r="160" spans="1:2" x14ac:dyDescent="0.25">
      <c r="A160" s="2" t="s">
        <v>362</v>
      </c>
      <c r="B160" s="2" t="s">
        <v>363</v>
      </c>
    </row>
    <row r="161" spans="1:2" x14ac:dyDescent="0.25">
      <c r="A161" s="2" t="s">
        <v>364</v>
      </c>
      <c r="B161" s="2" t="s">
        <v>365</v>
      </c>
    </row>
    <row r="162" spans="1:2" x14ac:dyDescent="0.25">
      <c r="A162" s="2" t="s">
        <v>366</v>
      </c>
      <c r="B162" s="2" t="s">
        <v>367</v>
      </c>
    </row>
    <row r="163" spans="1:2" x14ac:dyDescent="0.25">
      <c r="A163" s="2" t="s">
        <v>368</v>
      </c>
      <c r="B163" s="2" t="s">
        <v>369</v>
      </c>
    </row>
    <row r="164" spans="1:2" x14ac:dyDescent="0.25">
      <c r="A164" s="2" t="s">
        <v>370</v>
      </c>
      <c r="B164" s="2" t="s">
        <v>371</v>
      </c>
    </row>
    <row r="165" spans="1:2" x14ac:dyDescent="0.25">
      <c r="A165" s="2" t="s">
        <v>372</v>
      </c>
      <c r="B165" s="2" t="s">
        <v>373</v>
      </c>
    </row>
    <row r="166" spans="1:2" x14ac:dyDescent="0.25">
      <c r="A166" s="2" t="s">
        <v>374</v>
      </c>
      <c r="B166" s="2" t="s">
        <v>375</v>
      </c>
    </row>
    <row r="167" spans="1:2" x14ac:dyDescent="0.25">
      <c r="A167" s="2" t="s">
        <v>376</v>
      </c>
      <c r="B167" s="2" t="s">
        <v>377</v>
      </c>
    </row>
    <row r="168" spans="1:2" x14ac:dyDescent="0.25">
      <c r="A168" s="2" t="s">
        <v>378</v>
      </c>
      <c r="B168" s="2" t="s">
        <v>379</v>
      </c>
    </row>
    <row r="169" spans="1:2" x14ac:dyDescent="0.25">
      <c r="A169" s="2" t="s">
        <v>380</v>
      </c>
      <c r="B169" s="2" t="s">
        <v>381</v>
      </c>
    </row>
    <row r="170" spans="1:2" x14ac:dyDescent="0.25">
      <c r="A170" s="2" t="s">
        <v>382</v>
      </c>
      <c r="B170" s="2" t="s">
        <v>383</v>
      </c>
    </row>
    <row r="171" spans="1:2" x14ac:dyDescent="0.25">
      <c r="A171" s="2" t="s">
        <v>384</v>
      </c>
      <c r="B171" s="2" t="s">
        <v>385</v>
      </c>
    </row>
    <row r="172" spans="1:2" x14ac:dyDescent="0.25">
      <c r="A172" s="2" t="s">
        <v>386</v>
      </c>
      <c r="B172" s="2" t="s">
        <v>387</v>
      </c>
    </row>
    <row r="173" spans="1:2" x14ac:dyDescent="0.25">
      <c r="A173" s="2" t="s">
        <v>388</v>
      </c>
      <c r="B173" s="2" t="s">
        <v>389</v>
      </c>
    </row>
    <row r="174" spans="1:2" x14ac:dyDescent="0.25">
      <c r="A174" s="2" t="s">
        <v>390</v>
      </c>
      <c r="B174" s="2" t="s">
        <v>391</v>
      </c>
    </row>
    <row r="175" spans="1:2" x14ac:dyDescent="0.25">
      <c r="A175" s="2" t="s">
        <v>392</v>
      </c>
      <c r="B175" s="2" t="s">
        <v>393</v>
      </c>
    </row>
    <row r="176" spans="1:2" x14ac:dyDescent="0.25">
      <c r="A176" s="2" t="s">
        <v>394</v>
      </c>
      <c r="B176" s="2" t="s">
        <v>395</v>
      </c>
    </row>
    <row r="177" spans="1:2" x14ac:dyDescent="0.25">
      <c r="A177" s="2" t="s">
        <v>396</v>
      </c>
      <c r="B177" s="2" t="s">
        <v>397</v>
      </c>
    </row>
    <row r="178" spans="1:2" x14ac:dyDescent="0.25">
      <c r="A178" s="2" t="s">
        <v>398</v>
      </c>
      <c r="B178" s="2" t="s">
        <v>399</v>
      </c>
    </row>
    <row r="179" spans="1:2" x14ac:dyDescent="0.25">
      <c r="A179" s="2" t="s">
        <v>400</v>
      </c>
      <c r="B179" s="2" t="s">
        <v>401</v>
      </c>
    </row>
    <row r="180" spans="1:2" x14ac:dyDescent="0.25">
      <c r="A180" s="2" t="s">
        <v>402</v>
      </c>
      <c r="B180" s="2" t="s">
        <v>403</v>
      </c>
    </row>
    <row r="181" spans="1:2" x14ac:dyDescent="0.25">
      <c r="A181" s="2" t="s">
        <v>404</v>
      </c>
      <c r="B181" s="2" t="s">
        <v>405</v>
      </c>
    </row>
    <row r="182" spans="1:2" x14ac:dyDescent="0.25">
      <c r="A182" s="2" t="s">
        <v>406</v>
      </c>
      <c r="B182" s="2" t="s">
        <v>407</v>
      </c>
    </row>
    <row r="183" spans="1:2" x14ac:dyDescent="0.25">
      <c r="A183" s="2" t="s">
        <v>408</v>
      </c>
      <c r="B183" s="2" t="s">
        <v>409</v>
      </c>
    </row>
    <row r="184" spans="1:2" x14ac:dyDescent="0.25">
      <c r="A184" s="2" t="s">
        <v>410</v>
      </c>
      <c r="B184" s="2" t="s">
        <v>411</v>
      </c>
    </row>
    <row r="185" spans="1:2" x14ac:dyDescent="0.25">
      <c r="A185" s="2" t="s">
        <v>412</v>
      </c>
      <c r="B185" s="2" t="s">
        <v>413</v>
      </c>
    </row>
    <row r="186" spans="1:2" x14ac:dyDescent="0.25">
      <c r="A186" s="2" t="s">
        <v>414</v>
      </c>
      <c r="B186" s="2" t="s">
        <v>415</v>
      </c>
    </row>
    <row r="187" spans="1:2" x14ac:dyDescent="0.25">
      <c r="A187" s="2" t="s">
        <v>416</v>
      </c>
      <c r="B187" s="2" t="s">
        <v>417</v>
      </c>
    </row>
    <row r="188" spans="1:2" x14ac:dyDescent="0.25">
      <c r="A188" s="2" t="s">
        <v>418</v>
      </c>
      <c r="B188" s="2" t="s">
        <v>419</v>
      </c>
    </row>
    <row r="189" spans="1:2" x14ac:dyDescent="0.25">
      <c r="A189" s="2" t="s">
        <v>420</v>
      </c>
      <c r="B189" s="2" t="s">
        <v>421</v>
      </c>
    </row>
    <row r="190" spans="1:2" x14ac:dyDescent="0.25">
      <c r="A190" s="2" t="s">
        <v>422</v>
      </c>
      <c r="B190" s="2" t="s">
        <v>423</v>
      </c>
    </row>
    <row r="191" spans="1:2" x14ac:dyDescent="0.25">
      <c r="A191" s="2" t="s">
        <v>424</v>
      </c>
      <c r="B191" s="2" t="s">
        <v>425</v>
      </c>
    </row>
    <row r="192" spans="1:2" x14ac:dyDescent="0.25">
      <c r="A192" s="2" t="s">
        <v>426</v>
      </c>
      <c r="B192" s="2" t="s">
        <v>427</v>
      </c>
    </row>
    <row r="193" spans="1:2" x14ac:dyDescent="0.25">
      <c r="A193" s="2" t="s">
        <v>428</v>
      </c>
      <c r="B193" s="2" t="s">
        <v>429</v>
      </c>
    </row>
    <row r="194" spans="1:2" x14ac:dyDescent="0.25">
      <c r="A194" s="2" t="s">
        <v>430</v>
      </c>
      <c r="B194" s="2" t="s">
        <v>431</v>
      </c>
    </row>
    <row r="195" spans="1:2" x14ac:dyDescent="0.25">
      <c r="A195" s="2" t="s">
        <v>432</v>
      </c>
      <c r="B195" s="2" t="s">
        <v>433</v>
      </c>
    </row>
    <row r="196" spans="1:2" x14ac:dyDescent="0.25">
      <c r="A196" s="2" t="s">
        <v>434</v>
      </c>
      <c r="B196" s="2" t="s">
        <v>435</v>
      </c>
    </row>
    <row r="197" spans="1:2" x14ac:dyDescent="0.25">
      <c r="A197" s="2" t="s">
        <v>436</v>
      </c>
      <c r="B197" s="2" t="s">
        <v>437</v>
      </c>
    </row>
    <row r="198" spans="1:2" x14ac:dyDescent="0.25">
      <c r="A198" s="2" t="s">
        <v>438</v>
      </c>
      <c r="B198" s="2" t="s">
        <v>439</v>
      </c>
    </row>
    <row r="199" spans="1:2" x14ac:dyDescent="0.25">
      <c r="A199" s="2" t="s">
        <v>440</v>
      </c>
      <c r="B199" s="2" t="s">
        <v>441</v>
      </c>
    </row>
    <row r="200" spans="1:2" x14ac:dyDescent="0.25">
      <c r="A200" s="2" t="s">
        <v>442</v>
      </c>
      <c r="B200" s="2" t="s">
        <v>443</v>
      </c>
    </row>
    <row r="201" spans="1:2" x14ac:dyDescent="0.25">
      <c r="A201" s="2" t="s">
        <v>444</v>
      </c>
      <c r="B201" s="2" t="s">
        <v>445</v>
      </c>
    </row>
    <row r="202" spans="1:2" x14ac:dyDescent="0.25">
      <c r="A202" s="2" t="s">
        <v>446</v>
      </c>
      <c r="B202" s="2" t="s">
        <v>447</v>
      </c>
    </row>
    <row r="203" spans="1:2" x14ac:dyDescent="0.25">
      <c r="A203" s="2" t="s">
        <v>448</v>
      </c>
      <c r="B203" s="2" t="s">
        <v>449</v>
      </c>
    </row>
    <row r="204" spans="1:2" x14ac:dyDescent="0.25">
      <c r="A204" s="2" t="s">
        <v>450</v>
      </c>
      <c r="B204" s="2" t="s">
        <v>451</v>
      </c>
    </row>
    <row r="205" spans="1:2" x14ac:dyDescent="0.25">
      <c r="A205" s="2" t="s">
        <v>452</v>
      </c>
      <c r="B205" s="2" t="s">
        <v>453</v>
      </c>
    </row>
    <row r="206" spans="1:2" x14ac:dyDescent="0.25">
      <c r="A206" s="2" t="s">
        <v>454</v>
      </c>
      <c r="B206" s="2" t="s">
        <v>455</v>
      </c>
    </row>
    <row r="207" spans="1:2" x14ac:dyDescent="0.25">
      <c r="A207" s="2" t="s">
        <v>456</v>
      </c>
      <c r="B207" s="2" t="s">
        <v>457</v>
      </c>
    </row>
    <row r="208" spans="1:2" x14ac:dyDescent="0.25">
      <c r="A208" s="2" t="s">
        <v>458</v>
      </c>
      <c r="B208" s="2" t="s">
        <v>459</v>
      </c>
    </row>
    <row r="209" spans="1:2" x14ac:dyDescent="0.25">
      <c r="A209" s="2" t="s">
        <v>460</v>
      </c>
      <c r="B209" s="2" t="s">
        <v>461</v>
      </c>
    </row>
    <row r="210" spans="1:2" x14ac:dyDescent="0.25">
      <c r="A210" s="2" t="s">
        <v>462</v>
      </c>
      <c r="B210" s="2" t="s">
        <v>463</v>
      </c>
    </row>
    <row r="211" spans="1:2" x14ac:dyDescent="0.25">
      <c r="A211" s="2" t="s">
        <v>464</v>
      </c>
      <c r="B211" s="2" t="s">
        <v>465</v>
      </c>
    </row>
    <row r="212" spans="1:2" x14ac:dyDescent="0.25">
      <c r="A212" s="2" t="s">
        <v>466</v>
      </c>
      <c r="B212" s="2" t="s">
        <v>467</v>
      </c>
    </row>
    <row r="213" spans="1:2" x14ac:dyDescent="0.25">
      <c r="A213" s="2" t="s">
        <v>468</v>
      </c>
      <c r="B213" s="2" t="s">
        <v>469</v>
      </c>
    </row>
    <row r="214" spans="1:2" x14ac:dyDescent="0.25">
      <c r="A214" s="2" t="s">
        <v>470</v>
      </c>
      <c r="B214" s="2" t="s">
        <v>471</v>
      </c>
    </row>
    <row r="215" spans="1:2" x14ac:dyDescent="0.25">
      <c r="A215" s="2" t="s">
        <v>472</v>
      </c>
      <c r="B215" s="2" t="s">
        <v>473</v>
      </c>
    </row>
    <row r="216" spans="1:2" x14ac:dyDescent="0.25">
      <c r="A216" s="2" t="s">
        <v>474</v>
      </c>
      <c r="B216" s="2" t="s">
        <v>475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共保月帳單-T字帳</vt:lpstr>
      <vt:lpstr>共保月帳單-彙整表</vt:lpstr>
      <vt:lpstr>累計保費報表-可延後製作</vt:lpstr>
      <vt:lpstr>格式+批改原因代號表</vt:lpstr>
      <vt:lpstr>出險原因表(參考統計規程，僅供參考)</vt:lpstr>
      <vt:lpstr>'共保月帳單-T字帳'!Print_Area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2026-07-28T06:05:42Z</cp:lastPrinted>
  <dcterms:created xsi:type="dcterms:W3CDTF">2015-06-05T18:19:34Z</dcterms:created>
  <dcterms:modified xsi:type="dcterms:W3CDTF">2026-07-28T07:48:06Z</dcterms:modified>
</cp:coreProperties>
</file>