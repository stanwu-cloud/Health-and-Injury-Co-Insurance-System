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4cd5bb3604bb353/Desktop/共保志工險/規格書/產出範例/"/>
    </mc:Choice>
  </mc:AlternateContent>
  <xr:revisionPtr revIDLastSave="95" documentId="11_AD4DBB64A54DDB1B405E389605D904C94E90DF19" xr6:coauthVersionLast="47" xr6:coauthVersionMax="47" xr10:uidLastSave="{4A8722AC-B6F3-4494-B11C-480ECC7E54D6}"/>
  <bookViews>
    <workbookView xWindow="-120" yWindow="-120" windowWidth="29040" windowHeight="15720" tabRatio="481" xr2:uid="{00000000-000D-0000-FFFF-FFFF00000000}"/>
  </bookViews>
  <sheets>
    <sheet name="工作表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2" l="1"/>
  <c r="F7" i="2"/>
  <c r="G7" i="2"/>
  <c r="H7" i="2" s="1"/>
  <c r="I7" i="2"/>
  <c r="D8" i="2"/>
  <c r="F8" i="2"/>
  <c r="D9" i="2"/>
  <c r="D10" i="2"/>
  <c r="D11" i="2"/>
  <c r="F11" i="2"/>
  <c r="G11" i="2"/>
  <c r="H11" i="2"/>
  <c r="I11" i="2"/>
  <c r="J11" i="2"/>
  <c r="D12" i="2"/>
  <c r="F12" i="2"/>
  <c r="D13" i="2"/>
  <c r="D14" i="2"/>
  <c r="D15" i="2"/>
  <c r="F15" i="2"/>
  <c r="H15" i="2" s="1"/>
  <c r="G15" i="2"/>
  <c r="D16" i="2"/>
  <c r="F16" i="2"/>
  <c r="D17" i="2"/>
  <c r="D18" i="2"/>
  <c r="D19" i="2"/>
  <c r="F19" i="2"/>
  <c r="G19" i="2"/>
  <c r="H19" i="2"/>
  <c r="I19" i="2"/>
  <c r="J19" i="2"/>
  <c r="D20" i="2"/>
  <c r="F20" i="2"/>
  <c r="D21" i="2"/>
  <c r="D22" i="2"/>
  <c r="B23" i="2"/>
  <c r="F9" i="2" s="1"/>
  <c r="C23" i="2"/>
  <c r="G8" i="2" s="1"/>
  <c r="E23" i="2"/>
  <c r="I9" i="2" l="1"/>
  <c r="H8" i="2"/>
  <c r="J7" i="2"/>
  <c r="I15" i="2"/>
  <c r="J15" i="2" s="1"/>
  <c r="D23" i="2"/>
  <c r="G18" i="2"/>
  <c r="G14" i="2"/>
  <c r="G22" i="2" s="1"/>
  <c r="G10" i="2"/>
  <c r="F18" i="2"/>
  <c r="F14" i="2"/>
  <c r="F10" i="2"/>
  <c r="G21" i="2"/>
  <c r="G17" i="2"/>
  <c r="G13" i="2"/>
  <c r="G9" i="2"/>
  <c r="G23" i="2" s="1"/>
  <c r="F21" i="2"/>
  <c r="F17" i="2"/>
  <c r="F13" i="2"/>
  <c r="I20" i="2"/>
  <c r="I16" i="2"/>
  <c r="I12" i="2"/>
  <c r="I8" i="2"/>
  <c r="G20" i="2"/>
  <c r="H20" i="2" s="1"/>
  <c r="J20" i="2" s="1"/>
  <c r="G16" i="2"/>
  <c r="H16" i="2" s="1"/>
  <c r="J16" i="2" s="1"/>
  <c r="G12" i="2"/>
  <c r="H12" i="2" s="1"/>
  <c r="J12" i="2" s="1"/>
  <c r="H13" i="2" l="1"/>
  <c r="I13" i="2"/>
  <c r="H17" i="2"/>
  <c r="I17" i="2"/>
  <c r="H21" i="2"/>
  <c r="I21" i="2"/>
  <c r="J8" i="2"/>
  <c r="H10" i="2"/>
  <c r="I10" i="2"/>
  <c r="H14" i="2"/>
  <c r="I14" i="2"/>
  <c r="H18" i="2"/>
  <c r="I18" i="2"/>
  <c r="F22" i="2"/>
  <c r="H9" i="2"/>
  <c r="I23" i="2" l="1"/>
  <c r="J9" i="2"/>
  <c r="H23" i="2"/>
  <c r="H22" i="2"/>
  <c r="I22" i="2"/>
  <c r="F23" i="2"/>
  <c r="J18" i="2"/>
  <c r="J14" i="2"/>
  <c r="J10" i="2"/>
  <c r="J21" i="2"/>
  <c r="J17" i="2"/>
  <c r="J13" i="2"/>
  <c r="J22" i="2" l="1"/>
  <c r="J23" i="2" s="1"/>
</calcChain>
</file>

<file path=xl/sharedStrings.xml><?xml version="1.0" encoding="utf-8"?>
<sst xmlns="http://schemas.openxmlformats.org/spreadsheetml/2006/main" count="48" uniqueCount="47">
  <si>
    <t>執行災害防救業務志工團體保險共保組織</t>
    <phoneticPr fontId="3" type="noConversion"/>
  </si>
  <si>
    <t>Ｕ/Y：2026</t>
    <phoneticPr fontId="3" type="noConversion"/>
  </si>
  <si>
    <r>
      <t>公司名稱</t>
    </r>
    <r>
      <rPr>
        <b/>
        <sz val="14"/>
        <rFont val="Times New Roman"/>
        <family val="1"/>
      </rPr>
      <t>(1)</t>
    </r>
    <phoneticPr fontId="3" type="noConversion"/>
  </si>
  <si>
    <t>同業納入共保明細</t>
  </si>
  <si>
    <t>共保回分同業明細</t>
  </si>
  <si>
    <r>
      <t>應繳共保管理會費</t>
    </r>
    <r>
      <rPr>
        <b/>
        <sz val="14"/>
        <rFont val="Times New Roman"/>
        <family val="1"/>
      </rPr>
      <t>(9)</t>
    </r>
    <phoneticPr fontId="3" type="noConversion"/>
  </si>
  <si>
    <t>淨收(付)共保費)(10)</t>
    <phoneticPr fontId="3" type="noConversion"/>
  </si>
  <si>
    <r>
      <t>保費</t>
    </r>
    <r>
      <rPr>
        <b/>
        <sz val="8"/>
        <rFont val="Times New Roman"/>
        <family val="1"/>
      </rPr>
      <t>(2)</t>
    </r>
    <phoneticPr fontId="3" type="noConversion"/>
  </si>
  <si>
    <t>已付賠款(3)</t>
    <phoneticPr fontId="3" type="noConversion"/>
  </si>
  <si>
    <t>應收（付）淨額(4)</t>
    <phoneticPr fontId="3" type="noConversion"/>
  </si>
  <si>
    <t>共保成分(5)</t>
    <phoneticPr fontId="3" type="noConversion"/>
  </si>
  <si>
    <r>
      <t>應分配保費</t>
    </r>
    <r>
      <rPr>
        <b/>
        <sz val="8"/>
        <rFont val="Times New Roman"/>
        <family val="1"/>
      </rPr>
      <t>(6)</t>
    </r>
    <phoneticPr fontId="3" type="noConversion"/>
  </si>
  <si>
    <r>
      <t>應攤配賠款</t>
    </r>
    <r>
      <rPr>
        <b/>
        <sz val="8"/>
        <rFont val="Times New Roman"/>
        <family val="1"/>
      </rPr>
      <t>(7)</t>
    </r>
    <phoneticPr fontId="3" type="noConversion"/>
  </si>
  <si>
    <t>應攤收(付)淨額(8)</t>
    <phoneticPr fontId="3" type="noConversion"/>
  </si>
  <si>
    <t>計算說明</t>
    <phoneticPr fontId="3" type="noConversion"/>
  </si>
  <si>
    <t>由當月資料總計</t>
    <phoneticPr fontId="3" type="noConversion"/>
  </si>
  <si>
    <t>(4) = (2) + (3)</t>
    <phoneticPr fontId="3" type="noConversion"/>
  </si>
  <si>
    <t>查成分表</t>
    <phoneticPr fontId="3" type="noConversion"/>
  </si>
  <si>
    <t>(6)=SUM(2)X(5)</t>
    <phoneticPr fontId="3" type="noConversion"/>
  </si>
  <si>
    <t>(7)=SUM(3)X(5)</t>
    <phoneticPr fontId="3" type="noConversion"/>
  </si>
  <si>
    <t>(8)=(6)+(7)</t>
    <phoneticPr fontId="3" type="noConversion"/>
  </si>
  <si>
    <t>(9)=(6)x5%</t>
    <phoneticPr fontId="3" type="noConversion"/>
  </si>
  <si>
    <t>(10)=(4)+(8)+(9)</t>
    <phoneticPr fontId="3" type="noConversion"/>
  </si>
  <si>
    <t>台灣人壽</t>
    <phoneticPr fontId="3" type="noConversion"/>
  </si>
  <si>
    <t>國泰人壽</t>
    <phoneticPr fontId="3" type="noConversion"/>
  </si>
  <si>
    <t>凱基人壽</t>
    <phoneticPr fontId="3" type="noConversion"/>
  </si>
  <si>
    <t>南山人壽</t>
    <phoneticPr fontId="3" type="noConversion"/>
  </si>
  <si>
    <t>新光人壽</t>
    <phoneticPr fontId="3" type="noConversion"/>
  </si>
  <si>
    <t>三商美邦人壽</t>
    <phoneticPr fontId="3" type="noConversion"/>
  </si>
  <si>
    <t>富邦人壽</t>
    <phoneticPr fontId="3" type="noConversion"/>
  </si>
  <si>
    <t>全球人壽</t>
    <phoneticPr fontId="3" type="noConversion"/>
  </si>
  <si>
    <t>中央再保</t>
    <phoneticPr fontId="3" type="noConversion"/>
  </si>
  <si>
    <t>富邦產險</t>
    <phoneticPr fontId="3" type="noConversion"/>
  </si>
  <si>
    <t>和泰產險</t>
    <phoneticPr fontId="3" type="noConversion"/>
  </si>
  <si>
    <t>泰安產險</t>
    <phoneticPr fontId="3" type="noConversion"/>
  </si>
  <si>
    <t>明台產險</t>
    <phoneticPr fontId="3" type="noConversion"/>
  </si>
  <si>
    <t>新光產險</t>
    <phoneticPr fontId="3" type="noConversion"/>
  </si>
  <si>
    <t>國泰產險</t>
    <phoneticPr fontId="3" type="noConversion"/>
  </si>
  <si>
    <t>合計</t>
    <phoneticPr fontId="3" type="noConversion"/>
  </si>
  <si>
    <t>單位：新台幣元</t>
    <phoneticPr fontId="3" type="noConversion"/>
  </si>
  <si>
    <t>覆核：</t>
    <phoneticPr fontId="3" type="noConversion"/>
  </si>
  <si>
    <t>秘書：</t>
    <phoneticPr fontId="3" type="noConversion"/>
  </si>
  <si>
    <t>共保月帳單</t>
    <phoneticPr fontId="3" type="noConversion"/>
  </si>
  <si>
    <t>秘書長：</t>
    <phoneticPr fontId="3" type="noConversion"/>
  </si>
  <si>
    <t xml:space="preserve">    製表：</t>
    <phoneticPr fontId="12" type="noConversion"/>
  </si>
  <si>
    <t>華南產險</t>
    <phoneticPr fontId="12" type="noConversion"/>
  </si>
  <si>
    <t>資料統計年月：115年05月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</si>
</sst>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_-* #,##0_-;\-* #,##0_-;_-* &quot;-&quot;??_-;_-@_-"/>
    <numFmt numFmtId="177" formatCode="_-* #,##0.0_-;\-* #,##0.0_-;_-* &quot;-&quot;??_-;_-@_-"/>
    <numFmt numFmtId="178" formatCode="0.0%"/>
  </numFmts>
  <fonts count="14" x14ac:knownFonts="1">
    <font>
      <sz val="11"/>
      <color theme="1"/>
      <name val="新細明體"/>
      <family val="2"/>
      <scheme val="minor"/>
    </font>
    <font>
      <sz val="12"/>
      <name val="新細明體"/>
      <family val="1"/>
      <charset val="136"/>
    </font>
    <font>
      <sz val="24"/>
      <name val="標楷體"/>
      <family val="4"/>
      <charset val="136"/>
    </font>
    <font>
      <sz val="9"/>
      <name val="新細明體"/>
      <family val="1"/>
      <charset val="136"/>
    </font>
    <font>
      <sz val="16"/>
      <name val="標楷體"/>
      <family val="4"/>
      <charset val="136"/>
    </font>
    <font>
      <b/>
      <sz val="16"/>
      <name val="標楷體"/>
      <family val="4"/>
      <charset val="136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b/>
      <sz val="8"/>
      <name val="新細明體"/>
      <family val="1"/>
      <charset val="136"/>
    </font>
    <font>
      <b/>
      <sz val="8"/>
      <name val="Times New Roman"/>
      <family val="1"/>
    </font>
    <font>
      <sz val="14"/>
      <name val="新細明體"/>
      <family val="1"/>
      <charset val="136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6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</cellStyleXfs>
  <cellXfs count="53">
    <xf numFmtId="0" fontId="0" fillId="0" borderId="0" xfId="0"/>
    <xf numFmtId="0" fontId="1" fillId="0" borderId="0" xfId="1"/>
    <xf numFmtId="0" fontId="4" fillId="0" borderId="0" xfId="1" applyFont="1"/>
    <xf numFmtId="10" fontId="4" fillId="0" borderId="0" xfId="2" applyNumberFormat="1" applyFont="1" applyBorder="1" applyAlignment="1">
      <alignment horizontal="centerContinuous"/>
    </xf>
    <xf numFmtId="0" fontId="4" fillId="2" borderId="0" xfId="1" applyFont="1" applyFill="1"/>
    <xf numFmtId="0" fontId="4" fillId="0" borderId="0" xfId="1" applyFont="1" applyAlignment="1">
      <alignment vertical="top"/>
    </xf>
    <xf numFmtId="0" fontId="4" fillId="0" borderId="0" xfId="1" applyFont="1" applyAlignment="1">
      <alignment horizontal="centerContinuous"/>
    </xf>
    <xf numFmtId="0" fontId="5" fillId="0" borderId="0" xfId="1" applyFont="1" applyAlignment="1">
      <alignment horizontal="right"/>
    </xf>
    <xf numFmtId="49" fontId="8" fillId="0" borderId="8" xfId="1" applyNumberFormat="1" applyFont="1" applyBorder="1" applyAlignment="1">
      <alignment horizontal="center" vertical="center" wrapText="1"/>
    </xf>
    <xf numFmtId="49" fontId="8" fillId="2" borderId="9" xfId="1" applyNumberFormat="1" applyFont="1" applyFill="1" applyBorder="1" applyAlignment="1">
      <alignment horizontal="center" vertical="center" wrapText="1"/>
    </xf>
    <xf numFmtId="49" fontId="8" fillId="0" borderId="10" xfId="1" applyNumberFormat="1" applyFont="1" applyBorder="1" applyAlignment="1">
      <alignment horizontal="center" vertical="center" wrapText="1"/>
    </xf>
    <xf numFmtId="49" fontId="8" fillId="0" borderId="9" xfId="1" applyNumberFormat="1" applyFont="1" applyBorder="1" applyAlignment="1">
      <alignment horizontal="center" vertical="center" wrapText="1"/>
    </xf>
    <xf numFmtId="0" fontId="10" fillId="0" borderId="7" xfId="1" applyFont="1" applyBorder="1" applyAlignment="1">
      <alignment horizontal="center" vertical="center"/>
    </xf>
    <xf numFmtId="176" fontId="10" fillId="0" borderId="18" xfId="3" applyNumberFormat="1" applyFont="1" applyBorder="1" applyAlignment="1">
      <alignment horizontal="right" wrapText="1"/>
    </xf>
    <xf numFmtId="176" fontId="10" fillId="0" borderId="12" xfId="3" applyNumberFormat="1" applyFont="1" applyBorder="1" applyAlignment="1">
      <alignment horizontal="right" wrapText="1"/>
    </xf>
    <xf numFmtId="176" fontId="10" fillId="0" borderId="19" xfId="3" applyNumberFormat="1" applyFont="1" applyBorder="1" applyAlignment="1">
      <alignment horizontal="right" wrapText="1"/>
    </xf>
    <xf numFmtId="176" fontId="10" fillId="0" borderId="11" xfId="3" applyNumberFormat="1" applyFont="1" applyBorder="1" applyAlignment="1">
      <alignment horizontal="right" wrapText="1"/>
    </xf>
    <xf numFmtId="0" fontId="10" fillId="0" borderId="20" xfId="1" applyFont="1" applyBorder="1" applyAlignment="1">
      <alignment horizontal="center" vertical="center"/>
    </xf>
    <xf numFmtId="176" fontId="10" fillId="0" borderId="21" xfId="3" applyNumberFormat="1" applyFont="1" applyBorder="1" applyAlignment="1">
      <alignment horizontal="right" wrapText="1"/>
    </xf>
    <xf numFmtId="176" fontId="10" fillId="0" borderId="22" xfId="3" applyNumberFormat="1" applyFont="1" applyBorder="1" applyAlignment="1">
      <alignment horizontal="right" wrapText="1"/>
    </xf>
    <xf numFmtId="176" fontId="10" fillId="0" borderId="14" xfId="3" applyNumberFormat="1" applyFont="1" applyBorder="1" applyAlignment="1">
      <alignment horizontal="right" wrapText="1"/>
    </xf>
    <xf numFmtId="176" fontId="10" fillId="0" borderId="16" xfId="3" applyNumberFormat="1" applyFont="1" applyBorder="1" applyAlignment="1">
      <alignment horizontal="right" wrapText="1"/>
    </xf>
    <xf numFmtId="176" fontId="10" fillId="0" borderId="15" xfId="3" applyNumberFormat="1" applyFont="1" applyBorder="1" applyAlignment="1">
      <alignment horizontal="right" wrapText="1"/>
    </xf>
    <xf numFmtId="177" fontId="4" fillId="0" borderId="0" xfId="0" applyNumberFormat="1" applyFont="1" applyAlignment="1">
      <alignment vertical="center"/>
    </xf>
    <xf numFmtId="177" fontId="13" fillId="0" borderId="0" xfId="0" applyNumberFormat="1" applyFont="1" applyAlignment="1">
      <alignment vertical="center"/>
    </xf>
    <xf numFmtId="0" fontId="0" fillId="2" borderId="0" xfId="0" applyFill="1"/>
    <xf numFmtId="0" fontId="8" fillId="3" borderId="13" xfId="1" applyFont="1" applyFill="1" applyBorder="1" applyAlignment="1">
      <alignment horizontal="center" vertical="center" wrapText="1"/>
    </xf>
    <xf numFmtId="0" fontId="8" fillId="3" borderId="14" xfId="1" applyFont="1" applyFill="1" applyBorder="1" applyAlignment="1">
      <alignment horizontal="center" vertical="center" wrapText="1"/>
    </xf>
    <xf numFmtId="0" fontId="8" fillId="3" borderId="15" xfId="1" applyFont="1" applyFill="1" applyBorder="1" applyAlignment="1">
      <alignment horizontal="center" vertical="center" wrapText="1"/>
    </xf>
    <xf numFmtId="49" fontId="9" fillId="3" borderId="16" xfId="1" applyNumberFormat="1" applyFont="1" applyFill="1" applyBorder="1" applyAlignment="1">
      <alignment horizontal="center" vertical="center" wrapText="1"/>
    </xf>
    <xf numFmtId="49" fontId="8" fillId="3" borderId="14" xfId="1" applyNumberFormat="1" applyFont="1" applyFill="1" applyBorder="1" applyAlignment="1">
      <alignment horizontal="center" vertical="center" wrapText="1"/>
    </xf>
    <xf numFmtId="49" fontId="9" fillId="3" borderId="15" xfId="1" applyNumberFormat="1" applyFont="1" applyFill="1" applyBorder="1" applyAlignment="1">
      <alignment horizontal="center" vertical="center" wrapText="1"/>
    </xf>
    <xf numFmtId="0" fontId="8" fillId="3" borderId="17" xfId="1" applyFont="1" applyFill="1" applyBorder="1" applyAlignment="1">
      <alignment horizontal="center" vertical="center" wrapText="1"/>
    </xf>
    <xf numFmtId="0" fontId="9" fillId="3" borderId="16" xfId="1" applyFont="1" applyFill="1" applyBorder="1" applyAlignment="1">
      <alignment horizontal="center" vertical="center" wrapText="1"/>
    </xf>
    <xf numFmtId="178" fontId="10" fillId="0" borderId="18" xfId="2" applyNumberFormat="1" applyFont="1" applyFill="1" applyBorder="1" applyAlignment="1">
      <alignment horizontal="right" wrapText="1"/>
    </xf>
    <xf numFmtId="9" fontId="10" fillId="0" borderId="18" xfId="2" applyFont="1" applyFill="1" applyBorder="1" applyAlignment="1">
      <alignment horizontal="right" wrapText="1"/>
    </xf>
    <xf numFmtId="0" fontId="10" fillId="0" borderId="23" xfId="1" applyFont="1" applyBorder="1" applyAlignment="1">
      <alignment horizontal="center" wrapText="1"/>
    </xf>
    <xf numFmtId="176" fontId="10" fillId="0" borderId="24" xfId="3" applyNumberFormat="1" applyFont="1" applyBorder="1" applyAlignment="1">
      <alignment horizontal="right" wrapText="1"/>
    </xf>
    <xf numFmtId="176" fontId="10" fillId="0" borderId="17" xfId="3" applyNumberFormat="1" applyFont="1" applyBorder="1" applyAlignment="1">
      <alignment horizontal="right" wrapText="1"/>
    </xf>
    <xf numFmtId="9" fontId="10" fillId="0" borderId="14" xfId="4" applyFont="1" applyBorder="1" applyAlignment="1">
      <alignment horizontal="right" wrapText="1"/>
    </xf>
    <xf numFmtId="177" fontId="4" fillId="0" borderId="0" xfId="0" applyNumberFormat="1" applyFont="1" applyAlignment="1">
      <alignment horizontal="center" vertical="center"/>
    </xf>
    <xf numFmtId="0" fontId="2" fillId="0" borderId="0" xfId="1" applyFont="1" applyAlignment="1">
      <alignment horizontal="center"/>
    </xf>
    <xf numFmtId="0" fontId="1" fillId="0" borderId="0" xfId="1"/>
    <xf numFmtId="0" fontId="4" fillId="0" borderId="0" xfId="1" applyFont="1" applyAlignment="1">
      <alignment horizontal="center"/>
    </xf>
    <xf numFmtId="49" fontId="6" fillId="0" borderId="1" xfId="1" applyNumberFormat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49" fontId="6" fillId="0" borderId="2" xfId="1" applyNumberFormat="1" applyFont="1" applyBorder="1" applyAlignment="1">
      <alignment horizontal="center" vertical="center" wrapText="1"/>
    </xf>
    <xf numFmtId="49" fontId="6" fillId="0" borderId="3" xfId="1" applyNumberFormat="1" applyFont="1" applyBorder="1" applyAlignment="1">
      <alignment horizontal="center" vertical="center" wrapText="1"/>
    </xf>
    <xf numFmtId="49" fontId="6" fillId="0" borderId="4" xfId="1" applyNumberFormat="1" applyFont="1" applyBorder="1" applyAlignment="1">
      <alignment horizontal="center" vertical="center" wrapText="1"/>
    </xf>
    <xf numFmtId="49" fontId="6" fillId="0" borderId="5" xfId="1" applyNumberFormat="1" applyFont="1" applyBorder="1" applyAlignment="1">
      <alignment horizontal="center" vertical="center" wrapText="1"/>
    </xf>
    <xf numFmtId="0" fontId="6" fillId="0" borderId="11" xfId="1" applyFont="1" applyBorder="1" applyAlignment="1">
      <alignment horizontal="center" vertical="center" wrapText="1"/>
    </xf>
    <xf numFmtId="49" fontId="6" fillId="0" borderId="6" xfId="1" applyNumberFormat="1" applyFont="1" applyBorder="1" applyAlignment="1">
      <alignment horizontal="center" vertical="center" wrapText="1"/>
    </xf>
    <xf numFmtId="0" fontId="6" fillId="0" borderId="12" xfId="1" applyFont="1" applyBorder="1" applyAlignment="1">
      <alignment horizontal="center" vertical="center" wrapText="1"/>
    </xf>
  </cellXfs>
  <cellStyles count="5">
    <cellStyle name="一般" xfId="0" builtinId="0"/>
    <cellStyle name="一般 3" xfId="1" xr:uid="{42C6C4FF-F8F3-4020-BA8D-9804516ED186}"/>
    <cellStyle name="千分位 2" xfId="3" xr:uid="{E7CB5AA0-82F0-4194-88FF-6968C036EA43}"/>
    <cellStyle name="百分比" xfId="4" builtinId="5"/>
    <cellStyle name="百分比 3" xfId="2" xr:uid="{79F13C62-BF51-463F-94C5-817FF57CF3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BDA7A-E2BD-43F0-97A5-24414582321F}">
  <sheetPr>
    <pageSetUpPr fitToPage="1"/>
  </sheetPr>
  <dimension ref="A1:L616"/>
  <sheetViews>
    <sheetView tabSelected="1" zoomScale="85" zoomScaleNormal="85" workbookViewId="0">
      <selection activeCell="S15" sqref="S15"/>
    </sheetView>
  </sheetViews>
  <sheetFormatPr defaultRowHeight="15.75" x14ac:dyDescent="0.25"/>
  <cols>
    <col min="1" max="1" width="19.28515625" bestFit="1" customWidth="1"/>
    <col min="2" max="2" width="15.140625" customWidth="1"/>
    <col min="3" max="3" width="16.28515625" style="25" customWidth="1"/>
    <col min="4" max="4" width="15" customWidth="1"/>
    <col min="5" max="5" width="13.7109375" customWidth="1"/>
    <col min="6" max="6" width="14.5703125" customWidth="1"/>
    <col min="7" max="7" width="16.85546875" customWidth="1"/>
    <col min="8" max="8" width="14.42578125" customWidth="1"/>
    <col min="9" max="9" width="19.5703125" customWidth="1"/>
    <col min="10" max="10" width="19.140625" customWidth="1"/>
  </cols>
  <sheetData>
    <row r="1" spans="1:10" ht="32.25" x14ac:dyDescent="0.45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1" x14ac:dyDescent="0.3">
      <c r="A2" s="43" t="s">
        <v>42</v>
      </c>
      <c r="B2" s="42"/>
      <c r="C2" s="42"/>
      <c r="D2" s="42"/>
      <c r="E2" s="42"/>
      <c r="F2" s="42"/>
      <c r="G2" s="42"/>
      <c r="H2" s="42"/>
      <c r="I2" s="42"/>
      <c r="J2" s="42"/>
    </row>
    <row r="3" spans="1:10" ht="21.75" thickBot="1" x14ac:dyDescent="0.35">
      <c r="A3" s="2" t="s">
        <v>1</v>
      </c>
      <c r="B3" s="3"/>
      <c r="C3" s="4"/>
      <c r="D3" s="2"/>
      <c r="E3" s="5" t="s">
        <v>46</v>
      </c>
      <c r="F3" s="2"/>
      <c r="G3" s="2"/>
      <c r="H3" s="2"/>
      <c r="I3" s="6"/>
      <c r="J3" s="7" t="s">
        <v>39</v>
      </c>
    </row>
    <row r="4" spans="1:10" ht="19.5" customHeight="1" x14ac:dyDescent="0.25">
      <c r="A4" s="44" t="s">
        <v>2</v>
      </c>
      <c r="B4" s="46" t="s">
        <v>3</v>
      </c>
      <c r="C4" s="47"/>
      <c r="D4" s="48"/>
      <c r="E4" s="46" t="s">
        <v>4</v>
      </c>
      <c r="F4" s="47"/>
      <c r="G4" s="47"/>
      <c r="H4" s="48"/>
      <c r="I4" s="49" t="s">
        <v>5</v>
      </c>
      <c r="J4" s="51" t="s">
        <v>6</v>
      </c>
    </row>
    <row r="5" spans="1:10" x14ac:dyDescent="0.25">
      <c r="A5" s="45"/>
      <c r="B5" s="8" t="s">
        <v>7</v>
      </c>
      <c r="C5" s="9" t="s">
        <v>8</v>
      </c>
      <c r="D5" s="10" t="s">
        <v>9</v>
      </c>
      <c r="E5" s="8" t="s">
        <v>10</v>
      </c>
      <c r="F5" s="11" t="s">
        <v>11</v>
      </c>
      <c r="G5" s="11" t="s">
        <v>12</v>
      </c>
      <c r="H5" s="10" t="s">
        <v>13</v>
      </c>
      <c r="I5" s="50"/>
      <c r="J5" s="52"/>
    </row>
    <row r="6" spans="1:10" ht="16.5" thickBot="1" x14ac:dyDescent="0.3">
      <c r="A6" s="26" t="s">
        <v>14</v>
      </c>
      <c r="B6" s="27" t="s">
        <v>15</v>
      </c>
      <c r="C6" s="28" t="s">
        <v>15</v>
      </c>
      <c r="D6" s="29" t="s">
        <v>16</v>
      </c>
      <c r="E6" s="30" t="s">
        <v>17</v>
      </c>
      <c r="F6" s="31" t="s">
        <v>18</v>
      </c>
      <c r="G6" s="31" t="s">
        <v>19</v>
      </c>
      <c r="H6" s="29" t="s">
        <v>20</v>
      </c>
      <c r="I6" s="32" t="s">
        <v>21</v>
      </c>
      <c r="J6" s="33" t="s">
        <v>22</v>
      </c>
    </row>
    <row r="7" spans="1:10" ht="19.5" x14ac:dyDescent="0.3">
      <c r="A7" s="12" t="s">
        <v>23</v>
      </c>
      <c r="B7" s="13">
        <v>0</v>
      </c>
      <c r="C7" s="15">
        <v>0</v>
      </c>
      <c r="D7" s="14">
        <f>C7+B7</f>
        <v>0</v>
      </c>
      <c r="E7" s="34">
        <v>7.4999999999999997E-2</v>
      </c>
      <c r="F7" s="15">
        <f>ROUND(($B$23*E7*-1),0)</f>
        <v>-26259</v>
      </c>
      <c r="G7" s="15">
        <f>ROUND(($C$23*E7*-1),0)</f>
        <v>-9520</v>
      </c>
      <c r="H7" s="14">
        <f>F7+G7</f>
        <v>-35779</v>
      </c>
      <c r="I7" s="16">
        <f>ROUND((F7*0.05*-1),0)</f>
        <v>1313</v>
      </c>
      <c r="J7" s="14">
        <f>D7+H7+I7</f>
        <v>-34466</v>
      </c>
    </row>
    <row r="8" spans="1:10" ht="19.5" x14ac:dyDescent="0.3">
      <c r="A8" s="17" t="s">
        <v>24</v>
      </c>
      <c r="B8" s="13">
        <v>0</v>
      </c>
      <c r="C8" s="18">
        <v>0</v>
      </c>
      <c r="D8" s="14">
        <f t="shared" ref="D8:D20" si="0">C8+B8</f>
        <v>0</v>
      </c>
      <c r="E8" s="34">
        <v>7.4999999999999997E-2</v>
      </c>
      <c r="F8" s="15">
        <f>ROUND(($B$23*E8*-1),0)</f>
        <v>-26259</v>
      </c>
      <c r="G8" s="18">
        <f>ROUND(($C$23*E8*-1),0)</f>
        <v>-9520</v>
      </c>
      <c r="H8" s="14">
        <f t="shared" ref="H8:H20" si="1">F8+G8</f>
        <v>-35779</v>
      </c>
      <c r="I8" s="16">
        <f t="shared" ref="I8:I20" si="2">ROUND((F8*0.05*-1),0)</f>
        <v>1313</v>
      </c>
      <c r="J8" s="14">
        <f t="shared" ref="J8:J20" si="3">D8+H8+I8</f>
        <v>-34466</v>
      </c>
    </row>
    <row r="9" spans="1:10" ht="19.5" x14ac:dyDescent="0.3">
      <c r="A9" s="17" t="s">
        <v>25</v>
      </c>
      <c r="B9" s="13">
        <v>0</v>
      </c>
      <c r="C9" s="18">
        <v>0</v>
      </c>
      <c r="D9" s="14">
        <f t="shared" si="0"/>
        <v>0</v>
      </c>
      <c r="E9" s="34">
        <v>7.4999999999999997E-2</v>
      </c>
      <c r="F9" s="15">
        <f t="shared" ref="F9:F21" si="4">ROUND(($B$23*E9*-1),0)</f>
        <v>-26259</v>
      </c>
      <c r="G9" s="18">
        <f t="shared" ref="G9:G21" si="5">ROUND(($C$23*E9*-1),0)</f>
        <v>-9520</v>
      </c>
      <c r="H9" s="14">
        <f t="shared" si="1"/>
        <v>-35779</v>
      </c>
      <c r="I9" s="16">
        <f t="shared" si="2"/>
        <v>1313</v>
      </c>
      <c r="J9" s="14">
        <f t="shared" si="3"/>
        <v>-34466</v>
      </c>
    </row>
    <row r="10" spans="1:10" ht="19.5" x14ac:dyDescent="0.3">
      <c r="A10" s="17" t="s">
        <v>26</v>
      </c>
      <c r="B10" s="13">
        <v>0</v>
      </c>
      <c r="C10" s="18">
        <v>0</v>
      </c>
      <c r="D10" s="14">
        <f t="shared" si="0"/>
        <v>0</v>
      </c>
      <c r="E10" s="34">
        <v>7.4999999999999997E-2</v>
      </c>
      <c r="F10" s="15">
        <f t="shared" si="4"/>
        <v>-26259</v>
      </c>
      <c r="G10" s="18">
        <f t="shared" si="5"/>
        <v>-9520</v>
      </c>
      <c r="H10" s="14">
        <f t="shared" si="1"/>
        <v>-35779</v>
      </c>
      <c r="I10" s="16">
        <f t="shared" si="2"/>
        <v>1313</v>
      </c>
      <c r="J10" s="14">
        <f t="shared" si="3"/>
        <v>-34466</v>
      </c>
    </row>
    <row r="11" spans="1:10" ht="19.5" x14ac:dyDescent="0.3">
      <c r="A11" s="17" t="s">
        <v>27</v>
      </c>
      <c r="B11" s="13">
        <v>0</v>
      </c>
      <c r="C11" s="18">
        <v>0</v>
      </c>
      <c r="D11" s="14">
        <f t="shared" si="0"/>
        <v>0</v>
      </c>
      <c r="E11" s="34">
        <v>7.4999999999999997E-2</v>
      </c>
      <c r="F11" s="15">
        <f t="shared" si="4"/>
        <v>-26259</v>
      </c>
      <c r="G11" s="18">
        <f t="shared" si="5"/>
        <v>-9520</v>
      </c>
      <c r="H11" s="14">
        <f t="shared" si="1"/>
        <v>-35779</v>
      </c>
      <c r="I11" s="16">
        <f t="shared" si="2"/>
        <v>1313</v>
      </c>
      <c r="J11" s="14">
        <f t="shared" si="3"/>
        <v>-34466</v>
      </c>
    </row>
    <row r="12" spans="1:10" ht="19.5" x14ac:dyDescent="0.3">
      <c r="A12" s="17" t="s">
        <v>28</v>
      </c>
      <c r="B12" s="13">
        <v>0</v>
      </c>
      <c r="C12" s="18">
        <v>0</v>
      </c>
      <c r="D12" s="14">
        <f t="shared" si="0"/>
        <v>0</v>
      </c>
      <c r="E12" s="34">
        <v>7.4999999999999997E-2</v>
      </c>
      <c r="F12" s="15">
        <f t="shared" si="4"/>
        <v>-26259</v>
      </c>
      <c r="G12" s="18">
        <f t="shared" si="5"/>
        <v>-9520</v>
      </c>
      <c r="H12" s="14">
        <f t="shared" si="1"/>
        <v>-35779</v>
      </c>
      <c r="I12" s="16">
        <f t="shared" si="2"/>
        <v>1313</v>
      </c>
      <c r="J12" s="14">
        <f t="shared" si="3"/>
        <v>-34466</v>
      </c>
    </row>
    <row r="13" spans="1:10" ht="19.5" x14ac:dyDescent="0.3">
      <c r="A13" s="17" t="s">
        <v>29</v>
      </c>
      <c r="B13" s="13">
        <v>0</v>
      </c>
      <c r="C13" s="18">
        <v>0</v>
      </c>
      <c r="D13" s="14">
        <f t="shared" si="0"/>
        <v>0</v>
      </c>
      <c r="E13" s="34">
        <v>7.4999999999999997E-2</v>
      </c>
      <c r="F13" s="15">
        <f t="shared" si="4"/>
        <v>-26259</v>
      </c>
      <c r="G13" s="18">
        <f t="shared" si="5"/>
        <v>-9520</v>
      </c>
      <c r="H13" s="14">
        <f t="shared" si="1"/>
        <v>-35779</v>
      </c>
      <c r="I13" s="16">
        <f t="shared" si="2"/>
        <v>1313</v>
      </c>
      <c r="J13" s="14">
        <f t="shared" si="3"/>
        <v>-34466</v>
      </c>
    </row>
    <row r="14" spans="1:10" ht="19.5" x14ac:dyDescent="0.3">
      <c r="A14" s="17" t="s">
        <v>30</v>
      </c>
      <c r="B14" s="13">
        <v>0</v>
      </c>
      <c r="C14" s="18">
        <v>0</v>
      </c>
      <c r="D14" s="14">
        <f t="shared" si="0"/>
        <v>0</v>
      </c>
      <c r="E14" s="34">
        <v>7.4999999999999997E-2</v>
      </c>
      <c r="F14" s="15">
        <f t="shared" si="4"/>
        <v>-26259</v>
      </c>
      <c r="G14" s="18">
        <f t="shared" si="5"/>
        <v>-9520</v>
      </c>
      <c r="H14" s="14">
        <f t="shared" si="1"/>
        <v>-35779</v>
      </c>
      <c r="I14" s="16">
        <f t="shared" si="2"/>
        <v>1313</v>
      </c>
      <c r="J14" s="14">
        <f t="shared" si="3"/>
        <v>-34466</v>
      </c>
    </row>
    <row r="15" spans="1:10" ht="19.5" x14ac:dyDescent="0.3">
      <c r="A15" s="17" t="s">
        <v>32</v>
      </c>
      <c r="B15" s="13">
        <v>350123</v>
      </c>
      <c r="C15" s="18">
        <v>126931</v>
      </c>
      <c r="D15" s="14">
        <f t="shared" si="0"/>
        <v>477054</v>
      </c>
      <c r="E15" s="35">
        <v>0.06</v>
      </c>
      <c r="F15" s="15">
        <f t="shared" si="4"/>
        <v>-21007</v>
      </c>
      <c r="G15" s="18">
        <f t="shared" si="5"/>
        <v>-7616</v>
      </c>
      <c r="H15" s="14">
        <f t="shared" si="1"/>
        <v>-28623</v>
      </c>
      <c r="I15" s="16">
        <f t="shared" si="2"/>
        <v>1050</v>
      </c>
      <c r="J15" s="14">
        <f t="shared" si="3"/>
        <v>449481</v>
      </c>
    </row>
    <row r="16" spans="1:10" ht="19.5" x14ac:dyDescent="0.3">
      <c r="A16" s="17" t="s">
        <v>33</v>
      </c>
      <c r="B16" s="13">
        <v>0</v>
      </c>
      <c r="C16" s="18">
        <v>0</v>
      </c>
      <c r="D16" s="14">
        <f t="shared" si="0"/>
        <v>0</v>
      </c>
      <c r="E16" s="35">
        <v>0.03</v>
      </c>
      <c r="F16" s="15">
        <f t="shared" si="4"/>
        <v>-10504</v>
      </c>
      <c r="G16" s="18">
        <f t="shared" si="5"/>
        <v>-3808</v>
      </c>
      <c r="H16" s="14">
        <f t="shared" si="1"/>
        <v>-14312</v>
      </c>
      <c r="I16" s="16">
        <f t="shared" si="2"/>
        <v>525</v>
      </c>
      <c r="J16" s="14">
        <f t="shared" si="3"/>
        <v>-13787</v>
      </c>
    </row>
    <row r="17" spans="1:12" ht="19.5" x14ac:dyDescent="0.3">
      <c r="A17" s="17" t="s">
        <v>34</v>
      </c>
      <c r="B17" s="13">
        <v>0</v>
      </c>
      <c r="C17" s="18">
        <v>0</v>
      </c>
      <c r="D17" s="14">
        <f t="shared" si="0"/>
        <v>0</v>
      </c>
      <c r="E17" s="35">
        <v>0.02</v>
      </c>
      <c r="F17" s="15">
        <f t="shared" si="4"/>
        <v>-7002</v>
      </c>
      <c r="G17" s="18">
        <f t="shared" si="5"/>
        <v>-2539</v>
      </c>
      <c r="H17" s="14">
        <f t="shared" si="1"/>
        <v>-9541</v>
      </c>
      <c r="I17" s="16">
        <f t="shared" si="2"/>
        <v>350</v>
      </c>
      <c r="J17" s="14">
        <f t="shared" si="3"/>
        <v>-9191</v>
      </c>
    </row>
    <row r="18" spans="1:12" ht="19.5" x14ac:dyDescent="0.3">
      <c r="A18" s="17" t="s">
        <v>35</v>
      </c>
      <c r="B18" s="13">
        <v>0</v>
      </c>
      <c r="C18" s="18">
        <v>0</v>
      </c>
      <c r="D18" s="14">
        <f t="shared" si="0"/>
        <v>0</v>
      </c>
      <c r="E18" s="35">
        <v>0.06</v>
      </c>
      <c r="F18" s="15">
        <f t="shared" si="4"/>
        <v>-21007</v>
      </c>
      <c r="G18" s="18">
        <f t="shared" si="5"/>
        <v>-7616</v>
      </c>
      <c r="H18" s="14">
        <f t="shared" si="1"/>
        <v>-28623</v>
      </c>
      <c r="I18" s="16">
        <f t="shared" si="2"/>
        <v>1050</v>
      </c>
      <c r="J18" s="14">
        <f t="shared" si="3"/>
        <v>-27573</v>
      </c>
    </row>
    <row r="19" spans="1:12" ht="19.5" x14ac:dyDescent="0.3">
      <c r="A19" s="17" t="s">
        <v>36</v>
      </c>
      <c r="B19" s="13">
        <v>0</v>
      </c>
      <c r="C19" s="18">
        <v>0</v>
      </c>
      <c r="D19" s="14">
        <f t="shared" si="0"/>
        <v>0</v>
      </c>
      <c r="E19" s="35">
        <v>0.05</v>
      </c>
      <c r="F19" s="15">
        <f t="shared" si="4"/>
        <v>-17506</v>
      </c>
      <c r="G19" s="18">
        <f t="shared" si="5"/>
        <v>-6347</v>
      </c>
      <c r="H19" s="14">
        <f t="shared" si="1"/>
        <v>-23853</v>
      </c>
      <c r="I19" s="16">
        <f t="shared" si="2"/>
        <v>875</v>
      </c>
      <c r="J19" s="14">
        <f t="shared" si="3"/>
        <v>-22978</v>
      </c>
    </row>
    <row r="20" spans="1:12" ht="19.5" x14ac:dyDescent="0.3">
      <c r="A20" s="17" t="s">
        <v>45</v>
      </c>
      <c r="B20" s="13">
        <v>0</v>
      </c>
      <c r="C20" s="18">
        <v>0</v>
      </c>
      <c r="D20" s="14">
        <f t="shared" si="0"/>
        <v>0</v>
      </c>
      <c r="E20" s="35">
        <v>0.05</v>
      </c>
      <c r="F20" s="15">
        <f t="shared" si="4"/>
        <v>-17506</v>
      </c>
      <c r="G20" s="18">
        <f t="shared" si="5"/>
        <v>-6347</v>
      </c>
      <c r="H20" s="14">
        <f t="shared" si="1"/>
        <v>-23853</v>
      </c>
      <c r="I20" s="16">
        <f t="shared" si="2"/>
        <v>875</v>
      </c>
      <c r="J20" s="14">
        <f t="shared" si="3"/>
        <v>-22978</v>
      </c>
    </row>
    <row r="21" spans="1:12" ht="19.5" x14ac:dyDescent="0.3">
      <c r="A21" s="17" t="s">
        <v>37</v>
      </c>
      <c r="B21" s="13">
        <v>0</v>
      </c>
      <c r="C21" s="18">
        <v>0</v>
      </c>
      <c r="D21" s="14">
        <f>C21+B21</f>
        <v>0</v>
      </c>
      <c r="E21" s="35">
        <v>0.06</v>
      </c>
      <c r="F21" s="15">
        <f t="shared" si="4"/>
        <v>-21007</v>
      </c>
      <c r="G21" s="18">
        <f t="shared" si="5"/>
        <v>-7616</v>
      </c>
      <c r="H21" s="14">
        <f>F21+G21</f>
        <v>-28623</v>
      </c>
      <c r="I21" s="16">
        <f>ROUND((F21*0.05*-1),0)</f>
        <v>1050</v>
      </c>
      <c r="J21" s="19">
        <f>D21+H21+I21</f>
        <v>-27573</v>
      </c>
    </row>
    <row r="22" spans="1:12" ht="19.5" x14ac:dyDescent="0.3">
      <c r="A22" s="17" t="s">
        <v>31</v>
      </c>
      <c r="B22" s="13">
        <v>0</v>
      </c>
      <c r="C22" s="18">
        <v>0</v>
      </c>
      <c r="D22" s="14">
        <f>C22+B22</f>
        <v>0</v>
      </c>
      <c r="E22" s="35">
        <v>7.0000000000000007E-2</v>
      </c>
      <c r="F22" s="15">
        <f>-1*B23-SUM(F7:F21)</f>
        <v>-24512</v>
      </c>
      <c r="G22" s="15">
        <f>-1*C23-SUM(G7:G21)</f>
        <v>-8882</v>
      </c>
      <c r="H22" s="14">
        <f>F22+G22</f>
        <v>-33394</v>
      </c>
      <c r="I22" s="16">
        <f>ROUND((F22*0.05*-1),0)</f>
        <v>1226</v>
      </c>
      <c r="J22" s="14">
        <f>D22+H22+I22</f>
        <v>-32168</v>
      </c>
    </row>
    <row r="23" spans="1:12" s="1" customFormat="1" ht="22.7" customHeight="1" thickBot="1" x14ac:dyDescent="0.35">
      <c r="A23" s="36" t="s">
        <v>38</v>
      </c>
      <c r="B23" s="37">
        <f t="shared" ref="B23:J23" si="6">SUM(B7:B22)</f>
        <v>350123</v>
      </c>
      <c r="C23" s="22">
        <f t="shared" si="6"/>
        <v>126931</v>
      </c>
      <c r="D23" s="38">
        <f t="shared" si="6"/>
        <v>477054</v>
      </c>
      <c r="E23" s="39">
        <f t="shared" si="6"/>
        <v>1.0000000000000002</v>
      </c>
      <c r="F23" s="22">
        <f t="shared" si="6"/>
        <v>-350123</v>
      </c>
      <c r="G23" s="22">
        <f t="shared" si="6"/>
        <v>-126931</v>
      </c>
      <c r="H23" s="21">
        <f t="shared" si="6"/>
        <v>-477054</v>
      </c>
      <c r="I23" s="20">
        <f t="shared" si="6"/>
        <v>17505</v>
      </c>
      <c r="J23" s="21">
        <f t="shared" si="6"/>
        <v>17505</v>
      </c>
    </row>
    <row r="24" spans="1:12" s="1" customFormat="1" ht="22.7" customHeight="1" x14ac:dyDescent="0.25">
      <c r="A24" s="23"/>
      <c r="B24" s="23"/>
      <c r="C24"/>
      <c r="D24" s="40"/>
      <c r="E24" s="40"/>
      <c r="F24" s="23"/>
      <c r="G24" s="23"/>
      <c r="H24" s="23"/>
      <c r="I24" s="23"/>
      <c r="J24" s="23"/>
      <c r="K24" s="23"/>
      <c r="L24" s="24"/>
    </row>
    <row r="25" spans="1:12" s="1" customFormat="1" ht="22.7" customHeight="1" x14ac:dyDescent="0.25">
      <c r="A25" s="23"/>
      <c r="B25" s="23" t="s">
        <v>43</v>
      </c>
      <c r="C25"/>
      <c r="D25" s="40" t="s">
        <v>41</v>
      </c>
      <c r="E25" s="40"/>
      <c r="F25" s="23"/>
      <c r="G25" s="23" t="s">
        <v>40</v>
      </c>
      <c r="H25" s="23"/>
      <c r="I25" s="23" t="s">
        <v>44</v>
      </c>
      <c r="J25" s="23"/>
      <c r="K25" s="23"/>
      <c r="L25" s="24"/>
    </row>
    <row r="26" spans="1:12" s="1" customFormat="1" ht="22.7" customHeight="1" x14ac:dyDescent="0.25">
      <c r="C26"/>
    </row>
    <row r="27" spans="1:12" s="1" customFormat="1" ht="22.7" customHeight="1" x14ac:dyDescent="0.25">
      <c r="C27"/>
    </row>
    <row r="28" spans="1:12" s="1" customFormat="1" ht="22.7" customHeight="1" x14ac:dyDescent="0.25">
      <c r="C28"/>
    </row>
    <row r="29" spans="1:12" s="1" customFormat="1" ht="22.7" customHeight="1" x14ac:dyDescent="0.25">
      <c r="C29"/>
    </row>
    <row r="30" spans="1:12" x14ac:dyDescent="0.25">
      <c r="C30"/>
    </row>
    <row r="31" spans="1:12" x14ac:dyDescent="0.25">
      <c r="C31"/>
    </row>
    <row r="32" spans="1:12" x14ac:dyDescent="0.25">
      <c r="C32"/>
    </row>
    <row r="33" spans="3:3" x14ac:dyDescent="0.25">
      <c r="C33"/>
    </row>
    <row r="34" spans="3:3" x14ac:dyDescent="0.25">
      <c r="C34"/>
    </row>
    <row r="35" spans="3:3" x14ac:dyDescent="0.25">
      <c r="C35"/>
    </row>
    <row r="36" spans="3:3" x14ac:dyDescent="0.25">
      <c r="C36"/>
    </row>
    <row r="37" spans="3:3" x14ac:dyDescent="0.25">
      <c r="C37"/>
    </row>
    <row r="38" spans="3:3" x14ac:dyDescent="0.25">
      <c r="C38"/>
    </row>
    <row r="39" spans="3:3" x14ac:dyDescent="0.25">
      <c r="C39"/>
    </row>
    <row r="40" spans="3:3" x14ac:dyDescent="0.25">
      <c r="C40"/>
    </row>
    <row r="41" spans="3:3" x14ac:dyDescent="0.25">
      <c r="C41"/>
    </row>
    <row r="42" spans="3:3" x14ac:dyDescent="0.25">
      <c r="C42"/>
    </row>
    <row r="43" spans="3:3" x14ac:dyDescent="0.25">
      <c r="C43"/>
    </row>
    <row r="44" spans="3:3" x14ac:dyDescent="0.25">
      <c r="C44"/>
    </row>
    <row r="45" spans="3:3" x14ac:dyDescent="0.25">
      <c r="C45"/>
    </row>
    <row r="46" spans="3:3" x14ac:dyDescent="0.25">
      <c r="C46"/>
    </row>
    <row r="47" spans="3:3" x14ac:dyDescent="0.25">
      <c r="C47"/>
    </row>
    <row r="48" spans="3:3" x14ac:dyDescent="0.25">
      <c r="C48"/>
    </row>
    <row r="49" spans="3:3" x14ac:dyDescent="0.25">
      <c r="C49"/>
    </row>
    <row r="50" spans="3:3" x14ac:dyDescent="0.25">
      <c r="C50"/>
    </row>
    <row r="51" spans="3:3" x14ac:dyDescent="0.25">
      <c r="C51"/>
    </row>
    <row r="52" spans="3:3" x14ac:dyDescent="0.25">
      <c r="C52"/>
    </row>
    <row r="53" spans="3:3" x14ac:dyDescent="0.25">
      <c r="C53"/>
    </row>
    <row r="54" spans="3:3" x14ac:dyDescent="0.25">
      <c r="C54"/>
    </row>
    <row r="55" spans="3:3" x14ac:dyDescent="0.25">
      <c r="C55"/>
    </row>
    <row r="56" spans="3:3" x14ac:dyDescent="0.25">
      <c r="C56"/>
    </row>
    <row r="57" spans="3:3" x14ac:dyDescent="0.25">
      <c r="C57"/>
    </row>
    <row r="58" spans="3:3" x14ac:dyDescent="0.25">
      <c r="C58"/>
    </row>
    <row r="59" spans="3:3" x14ac:dyDescent="0.25">
      <c r="C59"/>
    </row>
    <row r="60" spans="3:3" x14ac:dyDescent="0.25">
      <c r="C60"/>
    </row>
    <row r="61" spans="3:3" x14ac:dyDescent="0.25">
      <c r="C61"/>
    </row>
    <row r="62" spans="3:3" x14ac:dyDescent="0.25">
      <c r="C62"/>
    </row>
    <row r="63" spans="3:3" x14ac:dyDescent="0.25">
      <c r="C63"/>
    </row>
    <row r="64" spans="3:3" x14ac:dyDescent="0.25">
      <c r="C64"/>
    </row>
    <row r="65" spans="3:3" x14ac:dyDescent="0.25">
      <c r="C65"/>
    </row>
    <row r="66" spans="3:3" x14ac:dyDescent="0.25">
      <c r="C66"/>
    </row>
    <row r="67" spans="3:3" x14ac:dyDescent="0.25">
      <c r="C67"/>
    </row>
    <row r="68" spans="3:3" x14ac:dyDescent="0.25">
      <c r="C68"/>
    </row>
    <row r="69" spans="3:3" x14ac:dyDescent="0.25">
      <c r="C69"/>
    </row>
    <row r="70" spans="3:3" x14ac:dyDescent="0.25">
      <c r="C70"/>
    </row>
    <row r="71" spans="3:3" x14ac:dyDescent="0.25">
      <c r="C71"/>
    </row>
    <row r="72" spans="3:3" x14ac:dyDescent="0.25">
      <c r="C72"/>
    </row>
    <row r="73" spans="3:3" x14ac:dyDescent="0.25">
      <c r="C73"/>
    </row>
    <row r="74" spans="3:3" x14ac:dyDescent="0.25">
      <c r="C74"/>
    </row>
    <row r="75" spans="3:3" x14ac:dyDescent="0.25">
      <c r="C75"/>
    </row>
    <row r="76" spans="3:3" x14ac:dyDescent="0.25">
      <c r="C76"/>
    </row>
    <row r="77" spans="3:3" x14ac:dyDescent="0.25">
      <c r="C77"/>
    </row>
    <row r="78" spans="3:3" x14ac:dyDescent="0.25">
      <c r="C78"/>
    </row>
    <row r="79" spans="3:3" x14ac:dyDescent="0.25">
      <c r="C79"/>
    </row>
    <row r="80" spans="3:3" x14ac:dyDescent="0.25">
      <c r="C80"/>
    </row>
    <row r="81" spans="3:3" x14ac:dyDescent="0.25">
      <c r="C81"/>
    </row>
    <row r="82" spans="3:3" x14ac:dyDescent="0.25">
      <c r="C82"/>
    </row>
    <row r="83" spans="3:3" x14ac:dyDescent="0.25">
      <c r="C83"/>
    </row>
    <row r="84" spans="3:3" x14ac:dyDescent="0.25">
      <c r="C84"/>
    </row>
    <row r="85" spans="3:3" x14ac:dyDescent="0.25">
      <c r="C85"/>
    </row>
    <row r="86" spans="3:3" x14ac:dyDescent="0.25">
      <c r="C86"/>
    </row>
    <row r="87" spans="3:3" x14ac:dyDescent="0.25">
      <c r="C87"/>
    </row>
    <row r="88" spans="3:3" x14ac:dyDescent="0.25">
      <c r="C88"/>
    </row>
    <row r="89" spans="3:3" x14ac:dyDescent="0.25">
      <c r="C89"/>
    </row>
    <row r="90" spans="3:3" x14ac:dyDescent="0.25">
      <c r="C90"/>
    </row>
    <row r="91" spans="3:3" x14ac:dyDescent="0.25">
      <c r="C91"/>
    </row>
    <row r="92" spans="3:3" x14ac:dyDescent="0.25">
      <c r="C92"/>
    </row>
    <row r="93" spans="3:3" x14ac:dyDescent="0.25">
      <c r="C93"/>
    </row>
    <row r="94" spans="3:3" x14ac:dyDescent="0.25">
      <c r="C94"/>
    </row>
    <row r="95" spans="3:3" x14ac:dyDescent="0.25">
      <c r="C95"/>
    </row>
    <row r="96" spans="3:3" x14ac:dyDescent="0.25">
      <c r="C96"/>
    </row>
    <row r="97" spans="3:3" x14ac:dyDescent="0.25">
      <c r="C97"/>
    </row>
    <row r="98" spans="3:3" x14ac:dyDescent="0.25">
      <c r="C98"/>
    </row>
    <row r="99" spans="3:3" x14ac:dyDescent="0.25">
      <c r="C99"/>
    </row>
    <row r="100" spans="3:3" x14ac:dyDescent="0.25">
      <c r="C100"/>
    </row>
    <row r="101" spans="3:3" x14ac:dyDescent="0.25">
      <c r="C101"/>
    </row>
    <row r="102" spans="3:3" x14ac:dyDescent="0.25">
      <c r="C102"/>
    </row>
    <row r="103" spans="3:3" x14ac:dyDescent="0.25">
      <c r="C103"/>
    </row>
    <row r="104" spans="3:3" x14ac:dyDescent="0.25">
      <c r="C104"/>
    </row>
    <row r="105" spans="3:3" x14ac:dyDescent="0.25">
      <c r="C105"/>
    </row>
    <row r="106" spans="3:3" x14ac:dyDescent="0.25">
      <c r="C106"/>
    </row>
    <row r="107" spans="3:3" x14ac:dyDescent="0.25">
      <c r="C107"/>
    </row>
    <row r="108" spans="3:3" x14ac:dyDescent="0.25">
      <c r="C108"/>
    </row>
    <row r="109" spans="3:3" x14ac:dyDescent="0.25">
      <c r="C109"/>
    </row>
    <row r="110" spans="3:3" x14ac:dyDescent="0.25">
      <c r="C110"/>
    </row>
    <row r="111" spans="3:3" x14ac:dyDescent="0.25">
      <c r="C111"/>
    </row>
    <row r="112" spans="3:3" x14ac:dyDescent="0.25">
      <c r="C112"/>
    </row>
    <row r="113" spans="3:3" x14ac:dyDescent="0.25">
      <c r="C113"/>
    </row>
    <row r="114" spans="3:3" x14ac:dyDescent="0.25">
      <c r="C114"/>
    </row>
    <row r="115" spans="3:3" x14ac:dyDescent="0.25">
      <c r="C115"/>
    </row>
    <row r="116" spans="3:3" x14ac:dyDescent="0.25">
      <c r="C116"/>
    </row>
    <row r="117" spans="3:3" x14ac:dyDescent="0.25">
      <c r="C117"/>
    </row>
    <row r="118" spans="3:3" x14ac:dyDescent="0.25">
      <c r="C118"/>
    </row>
    <row r="119" spans="3:3" x14ac:dyDescent="0.25">
      <c r="C119"/>
    </row>
    <row r="120" spans="3:3" x14ac:dyDescent="0.25">
      <c r="C120"/>
    </row>
    <row r="121" spans="3:3" x14ac:dyDescent="0.25">
      <c r="C121"/>
    </row>
    <row r="122" spans="3:3" x14ac:dyDescent="0.25">
      <c r="C122"/>
    </row>
    <row r="123" spans="3:3" x14ac:dyDescent="0.25">
      <c r="C123"/>
    </row>
    <row r="124" spans="3:3" x14ac:dyDescent="0.25">
      <c r="C124"/>
    </row>
    <row r="125" spans="3:3" x14ac:dyDescent="0.25">
      <c r="C125"/>
    </row>
    <row r="126" spans="3:3" x14ac:dyDescent="0.25">
      <c r="C126"/>
    </row>
    <row r="127" spans="3:3" x14ac:dyDescent="0.25">
      <c r="C127"/>
    </row>
    <row r="128" spans="3:3" x14ac:dyDescent="0.25">
      <c r="C128"/>
    </row>
    <row r="129" spans="3:3" x14ac:dyDescent="0.25">
      <c r="C129"/>
    </row>
    <row r="130" spans="3:3" x14ac:dyDescent="0.25">
      <c r="C130"/>
    </row>
    <row r="131" spans="3:3" x14ac:dyDescent="0.25">
      <c r="C131"/>
    </row>
    <row r="132" spans="3:3" x14ac:dyDescent="0.25">
      <c r="C132"/>
    </row>
    <row r="133" spans="3:3" x14ac:dyDescent="0.25">
      <c r="C133"/>
    </row>
    <row r="134" spans="3:3" x14ac:dyDescent="0.25">
      <c r="C134"/>
    </row>
    <row r="135" spans="3:3" x14ac:dyDescent="0.25">
      <c r="C135"/>
    </row>
    <row r="136" spans="3:3" x14ac:dyDescent="0.25">
      <c r="C136"/>
    </row>
    <row r="137" spans="3:3" x14ac:dyDescent="0.25">
      <c r="C137"/>
    </row>
    <row r="138" spans="3:3" x14ac:dyDescent="0.25">
      <c r="C138"/>
    </row>
    <row r="139" spans="3:3" x14ac:dyDescent="0.25">
      <c r="C139"/>
    </row>
    <row r="140" spans="3:3" x14ac:dyDescent="0.25">
      <c r="C140"/>
    </row>
    <row r="141" spans="3:3" x14ac:dyDescent="0.25">
      <c r="C141"/>
    </row>
    <row r="142" spans="3:3" x14ac:dyDescent="0.25">
      <c r="C142"/>
    </row>
    <row r="143" spans="3:3" x14ac:dyDescent="0.25">
      <c r="C143"/>
    </row>
    <row r="144" spans="3:3" x14ac:dyDescent="0.25">
      <c r="C144"/>
    </row>
    <row r="145" spans="3:3" x14ac:dyDescent="0.25">
      <c r="C145"/>
    </row>
    <row r="146" spans="3:3" x14ac:dyDescent="0.25">
      <c r="C146"/>
    </row>
    <row r="147" spans="3:3" x14ac:dyDescent="0.25">
      <c r="C147"/>
    </row>
    <row r="148" spans="3:3" x14ac:dyDescent="0.25">
      <c r="C148"/>
    </row>
    <row r="149" spans="3:3" x14ac:dyDescent="0.25">
      <c r="C149"/>
    </row>
    <row r="150" spans="3:3" x14ac:dyDescent="0.25">
      <c r="C150"/>
    </row>
    <row r="151" spans="3:3" x14ac:dyDescent="0.25">
      <c r="C151"/>
    </row>
    <row r="152" spans="3:3" x14ac:dyDescent="0.25">
      <c r="C152"/>
    </row>
    <row r="153" spans="3:3" x14ac:dyDescent="0.25">
      <c r="C153"/>
    </row>
    <row r="154" spans="3:3" x14ac:dyDescent="0.25">
      <c r="C154"/>
    </row>
    <row r="155" spans="3:3" x14ac:dyDescent="0.25">
      <c r="C155"/>
    </row>
    <row r="156" spans="3:3" x14ac:dyDescent="0.25">
      <c r="C156"/>
    </row>
    <row r="157" spans="3:3" x14ac:dyDescent="0.25">
      <c r="C157"/>
    </row>
    <row r="158" spans="3:3" x14ac:dyDescent="0.25">
      <c r="C158"/>
    </row>
    <row r="159" spans="3:3" x14ac:dyDescent="0.25">
      <c r="C159"/>
    </row>
    <row r="160" spans="3:3" x14ac:dyDescent="0.25">
      <c r="C160"/>
    </row>
    <row r="161" spans="3:3" x14ac:dyDescent="0.25">
      <c r="C161"/>
    </row>
    <row r="162" spans="3:3" x14ac:dyDescent="0.25">
      <c r="C162"/>
    </row>
    <row r="163" spans="3:3" x14ac:dyDescent="0.25">
      <c r="C163"/>
    </row>
    <row r="164" spans="3:3" x14ac:dyDescent="0.25">
      <c r="C164"/>
    </row>
    <row r="165" spans="3:3" x14ac:dyDescent="0.25">
      <c r="C165"/>
    </row>
    <row r="166" spans="3:3" x14ac:dyDescent="0.25">
      <c r="C166"/>
    </row>
    <row r="167" spans="3:3" x14ac:dyDescent="0.25">
      <c r="C167"/>
    </row>
    <row r="168" spans="3:3" x14ac:dyDescent="0.25">
      <c r="C168"/>
    </row>
    <row r="169" spans="3:3" x14ac:dyDescent="0.25">
      <c r="C169"/>
    </row>
    <row r="170" spans="3:3" x14ac:dyDescent="0.25">
      <c r="C170"/>
    </row>
    <row r="171" spans="3:3" x14ac:dyDescent="0.25">
      <c r="C171"/>
    </row>
    <row r="172" spans="3:3" x14ac:dyDescent="0.25">
      <c r="C172"/>
    </row>
    <row r="173" spans="3:3" x14ac:dyDescent="0.25">
      <c r="C173"/>
    </row>
    <row r="174" spans="3:3" x14ac:dyDescent="0.25">
      <c r="C174"/>
    </row>
    <row r="175" spans="3:3" x14ac:dyDescent="0.25">
      <c r="C175"/>
    </row>
    <row r="176" spans="3:3" x14ac:dyDescent="0.25">
      <c r="C176"/>
    </row>
    <row r="177" spans="3:3" x14ac:dyDescent="0.25">
      <c r="C177"/>
    </row>
    <row r="178" spans="3:3" x14ac:dyDescent="0.25">
      <c r="C178"/>
    </row>
    <row r="179" spans="3:3" x14ac:dyDescent="0.25">
      <c r="C179"/>
    </row>
    <row r="180" spans="3:3" x14ac:dyDescent="0.25">
      <c r="C180"/>
    </row>
    <row r="181" spans="3:3" x14ac:dyDescent="0.25">
      <c r="C181"/>
    </row>
    <row r="182" spans="3:3" x14ac:dyDescent="0.25">
      <c r="C182"/>
    </row>
    <row r="183" spans="3:3" x14ac:dyDescent="0.25">
      <c r="C183"/>
    </row>
    <row r="184" spans="3:3" x14ac:dyDescent="0.25">
      <c r="C184"/>
    </row>
    <row r="185" spans="3:3" x14ac:dyDescent="0.25">
      <c r="C185"/>
    </row>
    <row r="186" spans="3:3" x14ac:dyDescent="0.25">
      <c r="C186"/>
    </row>
    <row r="187" spans="3:3" x14ac:dyDescent="0.25">
      <c r="C187"/>
    </row>
    <row r="188" spans="3:3" x14ac:dyDescent="0.25">
      <c r="C188"/>
    </row>
    <row r="189" spans="3:3" x14ac:dyDescent="0.25">
      <c r="C189"/>
    </row>
    <row r="190" spans="3:3" x14ac:dyDescent="0.25">
      <c r="C190"/>
    </row>
    <row r="191" spans="3:3" x14ac:dyDescent="0.25">
      <c r="C191"/>
    </row>
    <row r="192" spans="3:3" x14ac:dyDescent="0.25">
      <c r="C192"/>
    </row>
    <row r="193" spans="3:3" x14ac:dyDescent="0.25">
      <c r="C193"/>
    </row>
    <row r="194" spans="3:3" x14ac:dyDescent="0.25">
      <c r="C194"/>
    </row>
    <row r="195" spans="3:3" x14ac:dyDescent="0.25">
      <c r="C195"/>
    </row>
    <row r="196" spans="3:3" x14ac:dyDescent="0.25">
      <c r="C196"/>
    </row>
    <row r="197" spans="3:3" x14ac:dyDescent="0.25">
      <c r="C197"/>
    </row>
    <row r="198" spans="3:3" x14ac:dyDescent="0.25">
      <c r="C198"/>
    </row>
    <row r="199" spans="3:3" x14ac:dyDescent="0.25">
      <c r="C199"/>
    </row>
    <row r="200" spans="3:3" x14ac:dyDescent="0.25">
      <c r="C200"/>
    </row>
    <row r="201" spans="3:3" x14ac:dyDescent="0.25">
      <c r="C201"/>
    </row>
    <row r="202" spans="3:3" x14ac:dyDescent="0.25">
      <c r="C202"/>
    </row>
    <row r="203" spans="3:3" x14ac:dyDescent="0.25">
      <c r="C203"/>
    </row>
    <row r="204" spans="3:3" x14ac:dyDescent="0.25">
      <c r="C204"/>
    </row>
    <row r="205" spans="3:3" x14ac:dyDescent="0.25">
      <c r="C205"/>
    </row>
    <row r="206" spans="3:3" x14ac:dyDescent="0.25">
      <c r="C206"/>
    </row>
    <row r="207" spans="3:3" x14ac:dyDescent="0.25">
      <c r="C207"/>
    </row>
    <row r="208" spans="3:3" x14ac:dyDescent="0.25">
      <c r="C208"/>
    </row>
    <row r="209" spans="3:3" x14ac:dyDescent="0.25">
      <c r="C209"/>
    </row>
    <row r="210" spans="3:3" x14ac:dyDescent="0.25">
      <c r="C210"/>
    </row>
    <row r="211" spans="3:3" x14ac:dyDescent="0.25">
      <c r="C211"/>
    </row>
    <row r="212" spans="3:3" x14ac:dyDescent="0.25">
      <c r="C212"/>
    </row>
    <row r="213" spans="3:3" x14ac:dyDescent="0.25">
      <c r="C213"/>
    </row>
    <row r="214" spans="3:3" x14ac:dyDescent="0.25">
      <c r="C214"/>
    </row>
    <row r="215" spans="3:3" x14ac:dyDescent="0.25">
      <c r="C215"/>
    </row>
    <row r="216" spans="3:3" x14ac:dyDescent="0.25">
      <c r="C216"/>
    </row>
    <row r="217" spans="3:3" x14ac:dyDescent="0.25">
      <c r="C217"/>
    </row>
    <row r="218" spans="3:3" x14ac:dyDescent="0.25">
      <c r="C218"/>
    </row>
    <row r="219" spans="3:3" x14ac:dyDescent="0.25">
      <c r="C219"/>
    </row>
    <row r="220" spans="3:3" x14ac:dyDescent="0.25">
      <c r="C220"/>
    </row>
    <row r="221" spans="3:3" x14ac:dyDescent="0.25">
      <c r="C221"/>
    </row>
    <row r="222" spans="3:3" x14ac:dyDescent="0.25">
      <c r="C222"/>
    </row>
    <row r="223" spans="3:3" x14ac:dyDescent="0.25">
      <c r="C223"/>
    </row>
    <row r="224" spans="3:3" x14ac:dyDescent="0.25">
      <c r="C224"/>
    </row>
    <row r="225" spans="3:3" x14ac:dyDescent="0.25">
      <c r="C225"/>
    </row>
    <row r="226" spans="3:3" x14ac:dyDescent="0.25">
      <c r="C226"/>
    </row>
    <row r="227" spans="3:3" x14ac:dyDescent="0.25">
      <c r="C227"/>
    </row>
    <row r="228" spans="3:3" x14ac:dyDescent="0.25">
      <c r="C228"/>
    </row>
    <row r="229" spans="3:3" x14ac:dyDescent="0.25">
      <c r="C229"/>
    </row>
    <row r="230" spans="3:3" x14ac:dyDescent="0.25">
      <c r="C230"/>
    </row>
    <row r="231" spans="3:3" x14ac:dyDescent="0.25">
      <c r="C231"/>
    </row>
    <row r="232" spans="3:3" x14ac:dyDescent="0.25">
      <c r="C232"/>
    </row>
    <row r="233" spans="3:3" x14ac:dyDescent="0.25">
      <c r="C233"/>
    </row>
    <row r="234" spans="3:3" x14ac:dyDescent="0.25">
      <c r="C234"/>
    </row>
    <row r="235" spans="3:3" x14ac:dyDescent="0.25">
      <c r="C235"/>
    </row>
    <row r="236" spans="3:3" x14ac:dyDescent="0.25">
      <c r="C236"/>
    </row>
    <row r="237" spans="3:3" x14ac:dyDescent="0.25">
      <c r="C237"/>
    </row>
    <row r="238" spans="3:3" x14ac:dyDescent="0.25">
      <c r="C238"/>
    </row>
    <row r="239" spans="3:3" x14ac:dyDescent="0.25">
      <c r="C239"/>
    </row>
    <row r="240" spans="3:3" x14ac:dyDescent="0.25">
      <c r="C240"/>
    </row>
    <row r="241" spans="3:3" x14ac:dyDescent="0.25">
      <c r="C241"/>
    </row>
    <row r="242" spans="3:3" x14ac:dyDescent="0.25">
      <c r="C242"/>
    </row>
    <row r="243" spans="3:3" x14ac:dyDescent="0.25">
      <c r="C243"/>
    </row>
    <row r="244" spans="3:3" x14ac:dyDescent="0.25">
      <c r="C244"/>
    </row>
    <row r="245" spans="3:3" x14ac:dyDescent="0.25">
      <c r="C245"/>
    </row>
    <row r="246" spans="3:3" x14ac:dyDescent="0.25">
      <c r="C246"/>
    </row>
    <row r="247" spans="3:3" x14ac:dyDescent="0.25">
      <c r="C247"/>
    </row>
    <row r="248" spans="3:3" x14ac:dyDescent="0.25">
      <c r="C248"/>
    </row>
    <row r="249" spans="3:3" x14ac:dyDescent="0.25">
      <c r="C249"/>
    </row>
    <row r="250" spans="3:3" x14ac:dyDescent="0.25">
      <c r="C250"/>
    </row>
    <row r="251" spans="3:3" x14ac:dyDescent="0.25">
      <c r="C251"/>
    </row>
    <row r="252" spans="3:3" x14ac:dyDescent="0.25">
      <c r="C252"/>
    </row>
    <row r="253" spans="3:3" x14ac:dyDescent="0.25">
      <c r="C253"/>
    </row>
    <row r="254" spans="3:3" x14ac:dyDescent="0.25">
      <c r="C254"/>
    </row>
    <row r="255" spans="3:3" x14ac:dyDescent="0.25">
      <c r="C255"/>
    </row>
    <row r="256" spans="3:3" x14ac:dyDescent="0.25">
      <c r="C256"/>
    </row>
    <row r="257" spans="3:3" x14ac:dyDescent="0.25">
      <c r="C257"/>
    </row>
    <row r="258" spans="3:3" x14ac:dyDescent="0.25">
      <c r="C258"/>
    </row>
    <row r="259" spans="3:3" x14ac:dyDescent="0.25">
      <c r="C259"/>
    </row>
    <row r="260" spans="3:3" x14ac:dyDescent="0.25">
      <c r="C260"/>
    </row>
    <row r="261" spans="3:3" x14ac:dyDescent="0.25">
      <c r="C261"/>
    </row>
    <row r="262" spans="3:3" x14ac:dyDescent="0.25">
      <c r="C262"/>
    </row>
    <row r="263" spans="3:3" x14ac:dyDescent="0.25">
      <c r="C263"/>
    </row>
    <row r="264" spans="3:3" x14ac:dyDescent="0.25">
      <c r="C264"/>
    </row>
    <row r="265" spans="3:3" x14ac:dyDescent="0.25">
      <c r="C265"/>
    </row>
    <row r="266" spans="3:3" x14ac:dyDescent="0.25">
      <c r="C266"/>
    </row>
    <row r="267" spans="3:3" x14ac:dyDescent="0.25">
      <c r="C267"/>
    </row>
    <row r="268" spans="3:3" x14ac:dyDescent="0.25">
      <c r="C268"/>
    </row>
    <row r="269" spans="3:3" x14ac:dyDescent="0.25">
      <c r="C269"/>
    </row>
    <row r="270" spans="3:3" x14ac:dyDescent="0.25">
      <c r="C270"/>
    </row>
    <row r="271" spans="3:3" x14ac:dyDescent="0.25">
      <c r="C271"/>
    </row>
    <row r="272" spans="3:3" x14ac:dyDescent="0.25">
      <c r="C272"/>
    </row>
    <row r="273" spans="3:3" x14ac:dyDescent="0.25">
      <c r="C273"/>
    </row>
    <row r="274" spans="3:3" x14ac:dyDescent="0.25">
      <c r="C274"/>
    </row>
    <row r="275" spans="3:3" x14ac:dyDescent="0.25">
      <c r="C275"/>
    </row>
    <row r="276" spans="3:3" x14ac:dyDescent="0.25">
      <c r="C276"/>
    </row>
    <row r="277" spans="3:3" x14ac:dyDescent="0.25">
      <c r="C277"/>
    </row>
    <row r="278" spans="3:3" x14ac:dyDescent="0.25">
      <c r="C278"/>
    </row>
    <row r="279" spans="3:3" x14ac:dyDescent="0.25">
      <c r="C279"/>
    </row>
    <row r="280" spans="3:3" x14ac:dyDescent="0.25">
      <c r="C280"/>
    </row>
    <row r="281" spans="3:3" x14ac:dyDescent="0.25">
      <c r="C281"/>
    </row>
    <row r="282" spans="3:3" x14ac:dyDescent="0.25">
      <c r="C282"/>
    </row>
    <row r="283" spans="3:3" x14ac:dyDescent="0.25">
      <c r="C283"/>
    </row>
    <row r="284" spans="3:3" x14ac:dyDescent="0.25">
      <c r="C284"/>
    </row>
    <row r="285" spans="3:3" x14ac:dyDescent="0.25">
      <c r="C285"/>
    </row>
    <row r="286" spans="3:3" x14ac:dyDescent="0.25">
      <c r="C286"/>
    </row>
    <row r="287" spans="3:3" x14ac:dyDescent="0.25">
      <c r="C287"/>
    </row>
    <row r="288" spans="3:3" x14ac:dyDescent="0.25">
      <c r="C288"/>
    </row>
    <row r="289" spans="3:3" x14ac:dyDescent="0.25">
      <c r="C289"/>
    </row>
    <row r="290" spans="3:3" x14ac:dyDescent="0.25">
      <c r="C290"/>
    </row>
    <row r="291" spans="3:3" x14ac:dyDescent="0.25">
      <c r="C291"/>
    </row>
    <row r="292" spans="3:3" x14ac:dyDescent="0.25">
      <c r="C292"/>
    </row>
    <row r="293" spans="3:3" x14ac:dyDescent="0.25">
      <c r="C293"/>
    </row>
    <row r="294" spans="3:3" x14ac:dyDescent="0.25">
      <c r="C294"/>
    </row>
    <row r="295" spans="3:3" x14ac:dyDescent="0.25">
      <c r="C295"/>
    </row>
    <row r="296" spans="3:3" x14ac:dyDescent="0.25">
      <c r="C296"/>
    </row>
    <row r="297" spans="3:3" x14ac:dyDescent="0.25">
      <c r="C297"/>
    </row>
    <row r="298" spans="3:3" x14ac:dyDescent="0.25">
      <c r="C298"/>
    </row>
    <row r="299" spans="3:3" x14ac:dyDescent="0.25">
      <c r="C299"/>
    </row>
    <row r="300" spans="3:3" x14ac:dyDescent="0.25">
      <c r="C300"/>
    </row>
    <row r="301" spans="3:3" x14ac:dyDescent="0.25">
      <c r="C301"/>
    </row>
    <row r="302" spans="3:3" x14ac:dyDescent="0.25">
      <c r="C302"/>
    </row>
    <row r="303" spans="3:3" x14ac:dyDescent="0.25">
      <c r="C303"/>
    </row>
    <row r="304" spans="3:3" x14ac:dyDescent="0.25">
      <c r="C304"/>
    </row>
    <row r="305" spans="3:3" x14ac:dyDescent="0.25">
      <c r="C305"/>
    </row>
    <row r="306" spans="3:3" x14ac:dyDescent="0.25">
      <c r="C306"/>
    </row>
    <row r="307" spans="3:3" x14ac:dyDescent="0.25">
      <c r="C307"/>
    </row>
    <row r="308" spans="3:3" x14ac:dyDescent="0.25">
      <c r="C308"/>
    </row>
    <row r="309" spans="3:3" x14ac:dyDescent="0.25">
      <c r="C309"/>
    </row>
    <row r="310" spans="3:3" x14ac:dyDescent="0.25">
      <c r="C310"/>
    </row>
    <row r="311" spans="3:3" x14ac:dyDescent="0.25">
      <c r="C311"/>
    </row>
    <row r="312" spans="3:3" x14ac:dyDescent="0.25">
      <c r="C312"/>
    </row>
    <row r="313" spans="3:3" x14ac:dyDescent="0.25">
      <c r="C313"/>
    </row>
    <row r="314" spans="3:3" x14ac:dyDescent="0.25">
      <c r="C314"/>
    </row>
    <row r="315" spans="3:3" x14ac:dyDescent="0.25">
      <c r="C315"/>
    </row>
    <row r="316" spans="3:3" x14ac:dyDescent="0.25">
      <c r="C316"/>
    </row>
    <row r="317" spans="3:3" x14ac:dyDescent="0.25">
      <c r="C317"/>
    </row>
    <row r="318" spans="3:3" x14ac:dyDescent="0.25">
      <c r="C318"/>
    </row>
    <row r="319" spans="3:3" x14ac:dyDescent="0.25">
      <c r="C319"/>
    </row>
    <row r="320" spans="3:3" x14ac:dyDescent="0.25">
      <c r="C320"/>
    </row>
    <row r="321" spans="3:3" x14ac:dyDescent="0.25">
      <c r="C321"/>
    </row>
    <row r="322" spans="3:3" x14ac:dyDescent="0.25">
      <c r="C322"/>
    </row>
    <row r="323" spans="3:3" x14ac:dyDescent="0.25">
      <c r="C323"/>
    </row>
    <row r="324" spans="3:3" x14ac:dyDescent="0.25">
      <c r="C324"/>
    </row>
    <row r="325" spans="3:3" x14ac:dyDescent="0.25">
      <c r="C325"/>
    </row>
    <row r="326" spans="3:3" x14ac:dyDescent="0.25">
      <c r="C326"/>
    </row>
    <row r="327" spans="3:3" x14ac:dyDescent="0.25">
      <c r="C327"/>
    </row>
    <row r="328" spans="3:3" x14ac:dyDescent="0.25">
      <c r="C328"/>
    </row>
    <row r="329" spans="3:3" x14ac:dyDescent="0.25">
      <c r="C329"/>
    </row>
    <row r="330" spans="3:3" x14ac:dyDescent="0.25">
      <c r="C330"/>
    </row>
    <row r="331" spans="3:3" x14ac:dyDescent="0.25">
      <c r="C331"/>
    </row>
    <row r="332" spans="3:3" x14ac:dyDescent="0.25">
      <c r="C332"/>
    </row>
    <row r="333" spans="3:3" x14ac:dyDescent="0.25">
      <c r="C333"/>
    </row>
    <row r="334" spans="3:3" x14ac:dyDescent="0.25">
      <c r="C334"/>
    </row>
    <row r="335" spans="3:3" x14ac:dyDescent="0.25">
      <c r="C335"/>
    </row>
    <row r="336" spans="3:3" x14ac:dyDescent="0.25">
      <c r="C336"/>
    </row>
    <row r="337" spans="3:3" x14ac:dyDescent="0.25">
      <c r="C337"/>
    </row>
    <row r="338" spans="3:3" x14ac:dyDescent="0.25">
      <c r="C338"/>
    </row>
    <row r="339" spans="3:3" x14ac:dyDescent="0.25">
      <c r="C339"/>
    </row>
    <row r="340" spans="3:3" x14ac:dyDescent="0.25">
      <c r="C340"/>
    </row>
    <row r="341" spans="3:3" x14ac:dyDescent="0.25">
      <c r="C341"/>
    </row>
    <row r="342" spans="3:3" x14ac:dyDescent="0.25">
      <c r="C342"/>
    </row>
    <row r="343" spans="3:3" x14ac:dyDescent="0.25">
      <c r="C343"/>
    </row>
    <row r="344" spans="3:3" x14ac:dyDescent="0.25">
      <c r="C344"/>
    </row>
    <row r="345" spans="3:3" x14ac:dyDescent="0.25">
      <c r="C345"/>
    </row>
    <row r="346" spans="3:3" x14ac:dyDescent="0.25">
      <c r="C346"/>
    </row>
    <row r="347" spans="3:3" x14ac:dyDescent="0.25">
      <c r="C347"/>
    </row>
    <row r="348" spans="3:3" x14ac:dyDescent="0.25">
      <c r="C348"/>
    </row>
    <row r="349" spans="3:3" x14ac:dyDescent="0.25">
      <c r="C349"/>
    </row>
    <row r="350" spans="3:3" x14ac:dyDescent="0.25">
      <c r="C350"/>
    </row>
    <row r="351" spans="3:3" x14ac:dyDescent="0.25">
      <c r="C351"/>
    </row>
    <row r="352" spans="3:3" x14ac:dyDescent="0.25">
      <c r="C352"/>
    </row>
    <row r="353" spans="3:3" x14ac:dyDescent="0.25">
      <c r="C353"/>
    </row>
    <row r="354" spans="3:3" x14ac:dyDescent="0.25">
      <c r="C354"/>
    </row>
    <row r="355" spans="3:3" x14ac:dyDescent="0.25">
      <c r="C355"/>
    </row>
    <row r="356" spans="3:3" x14ac:dyDescent="0.25">
      <c r="C356"/>
    </row>
    <row r="357" spans="3:3" x14ac:dyDescent="0.25">
      <c r="C357"/>
    </row>
    <row r="358" spans="3:3" x14ac:dyDescent="0.25">
      <c r="C358"/>
    </row>
    <row r="359" spans="3:3" x14ac:dyDescent="0.25">
      <c r="C359"/>
    </row>
    <row r="360" spans="3:3" x14ac:dyDescent="0.25">
      <c r="C360"/>
    </row>
    <row r="361" spans="3:3" x14ac:dyDescent="0.25">
      <c r="C361"/>
    </row>
    <row r="362" spans="3:3" x14ac:dyDescent="0.25">
      <c r="C362"/>
    </row>
    <row r="363" spans="3:3" x14ac:dyDescent="0.25">
      <c r="C363"/>
    </row>
    <row r="364" spans="3:3" x14ac:dyDescent="0.25">
      <c r="C364"/>
    </row>
    <row r="365" spans="3:3" x14ac:dyDescent="0.25">
      <c r="C365"/>
    </row>
    <row r="366" spans="3:3" x14ac:dyDescent="0.25">
      <c r="C366"/>
    </row>
    <row r="367" spans="3:3" x14ac:dyDescent="0.25">
      <c r="C367"/>
    </row>
    <row r="368" spans="3:3" x14ac:dyDescent="0.25">
      <c r="C368"/>
    </row>
    <row r="369" spans="3:3" x14ac:dyDescent="0.25">
      <c r="C369"/>
    </row>
    <row r="370" spans="3:3" x14ac:dyDescent="0.25">
      <c r="C370"/>
    </row>
    <row r="371" spans="3:3" x14ac:dyDescent="0.25">
      <c r="C371"/>
    </row>
    <row r="372" spans="3:3" x14ac:dyDescent="0.25">
      <c r="C372"/>
    </row>
    <row r="373" spans="3:3" x14ac:dyDescent="0.25">
      <c r="C373"/>
    </row>
    <row r="374" spans="3:3" x14ac:dyDescent="0.25">
      <c r="C374"/>
    </row>
    <row r="375" spans="3:3" x14ac:dyDescent="0.25">
      <c r="C375"/>
    </row>
    <row r="376" spans="3:3" x14ac:dyDescent="0.25">
      <c r="C376"/>
    </row>
    <row r="377" spans="3:3" x14ac:dyDescent="0.25">
      <c r="C377"/>
    </row>
    <row r="378" spans="3:3" x14ac:dyDescent="0.25">
      <c r="C378"/>
    </row>
    <row r="379" spans="3:3" x14ac:dyDescent="0.25">
      <c r="C379"/>
    </row>
    <row r="380" spans="3:3" x14ac:dyDescent="0.25">
      <c r="C380"/>
    </row>
    <row r="381" spans="3:3" x14ac:dyDescent="0.25">
      <c r="C381"/>
    </row>
    <row r="382" spans="3:3" x14ac:dyDescent="0.25">
      <c r="C382"/>
    </row>
    <row r="383" spans="3:3" x14ac:dyDescent="0.25">
      <c r="C383"/>
    </row>
    <row r="384" spans="3:3" x14ac:dyDescent="0.25">
      <c r="C384"/>
    </row>
    <row r="385" spans="3:3" x14ac:dyDescent="0.25">
      <c r="C385"/>
    </row>
    <row r="386" spans="3:3" x14ac:dyDescent="0.25">
      <c r="C386"/>
    </row>
    <row r="387" spans="3:3" x14ac:dyDescent="0.25">
      <c r="C387"/>
    </row>
    <row r="388" spans="3:3" x14ac:dyDescent="0.25">
      <c r="C388"/>
    </row>
    <row r="389" spans="3:3" x14ac:dyDescent="0.25">
      <c r="C389"/>
    </row>
    <row r="390" spans="3:3" x14ac:dyDescent="0.25">
      <c r="C390"/>
    </row>
    <row r="391" spans="3:3" x14ac:dyDescent="0.25">
      <c r="C391"/>
    </row>
    <row r="392" spans="3:3" x14ac:dyDescent="0.25">
      <c r="C392"/>
    </row>
    <row r="393" spans="3:3" x14ac:dyDescent="0.25">
      <c r="C393"/>
    </row>
    <row r="394" spans="3:3" x14ac:dyDescent="0.25">
      <c r="C394"/>
    </row>
    <row r="395" spans="3:3" x14ac:dyDescent="0.25">
      <c r="C395"/>
    </row>
    <row r="396" spans="3:3" x14ac:dyDescent="0.25">
      <c r="C396"/>
    </row>
    <row r="397" spans="3:3" x14ac:dyDescent="0.25">
      <c r="C397"/>
    </row>
    <row r="398" spans="3:3" x14ac:dyDescent="0.25">
      <c r="C398"/>
    </row>
    <row r="399" spans="3:3" x14ac:dyDescent="0.25">
      <c r="C399"/>
    </row>
    <row r="400" spans="3:3" x14ac:dyDescent="0.25">
      <c r="C400"/>
    </row>
    <row r="401" spans="3:3" x14ac:dyDescent="0.25">
      <c r="C401"/>
    </row>
    <row r="402" spans="3:3" x14ac:dyDescent="0.25">
      <c r="C402"/>
    </row>
    <row r="403" spans="3:3" x14ac:dyDescent="0.25">
      <c r="C403"/>
    </row>
    <row r="404" spans="3:3" x14ac:dyDescent="0.25">
      <c r="C404"/>
    </row>
    <row r="405" spans="3:3" x14ac:dyDescent="0.25">
      <c r="C405"/>
    </row>
    <row r="406" spans="3:3" x14ac:dyDescent="0.25">
      <c r="C406"/>
    </row>
    <row r="407" spans="3:3" x14ac:dyDescent="0.25">
      <c r="C407"/>
    </row>
    <row r="408" spans="3:3" x14ac:dyDescent="0.25">
      <c r="C408"/>
    </row>
    <row r="409" spans="3:3" x14ac:dyDescent="0.25">
      <c r="C409"/>
    </row>
    <row r="410" spans="3:3" x14ac:dyDescent="0.25">
      <c r="C410"/>
    </row>
    <row r="411" spans="3:3" x14ac:dyDescent="0.25">
      <c r="C411"/>
    </row>
    <row r="412" spans="3:3" x14ac:dyDescent="0.25">
      <c r="C412"/>
    </row>
    <row r="413" spans="3:3" x14ac:dyDescent="0.25">
      <c r="C413"/>
    </row>
    <row r="414" spans="3:3" x14ac:dyDescent="0.25">
      <c r="C414"/>
    </row>
    <row r="415" spans="3:3" x14ac:dyDescent="0.25">
      <c r="C415"/>
    </row>
    <row r="416" spans="3:3" x14ac:dyDescent="0.25">
      <c r="C416"/>
    </row>
    <row r="417" spans="3:3" x14ac:dyDescent="0.25">
      <c r="C417"/>
    </row>
    <row r="418" spans="3:3" x14ac:dyDescent="0.25">
      <c r="C418"/>
    </row>
    <row r="419" spans="3:3" x14ac:dyDescent="0.25">
      <c r="C419"/>
    </row>
    <row r="420" spans="3:3" x14ac:dyDescent="0.25">
      <c r="C420"/>
    </row>
    <row r="421" spans="3:3" x14ac:dyDescent="0.25">
      <c r="C421"/>
    </row>
    <row r="422" spans="3:3" x14ac:dyDescent="0.25">
      <c r="C422"/>
    </row>
    <row r="423" spans="3:3" x14ac:dyDescent="0.25">
      <c r="C423"/>
    </row>
    <row r="424" spans="3:3" x14ac:dyDescent="0.25">
      <c r="C424"/>
    </row>
    <row r="425" spans="3:3" x14ac:dyDescent="0.25">
      <c r="C425"/>
    </row>
    <row r="426" spans="3:3" x14ac:dyDescent="0.25">
      <c r="C426"/>
    </row>
    <row r="427" spans="3:3" x14ac:dyDescent="0.25">
      <c r="C427"/>
    </row>
    <row r="428" spans="3:3" x14ac:dyDescent="0.25">
      <c r="C428"/>
    </row>
    <row r="429" spans="3:3" x14ac:dyDescent="0.25">
      <c r="C429"/>
    </row>
    <row r="430" spans="3:3" x14ac:dyDescent="0.25">
      <c r="C430"/>
    </row>
    <row r="431" spans="3:3" x14ac:dyDescent="0.25">
      <c r="C431"/>
    </row>
    <row r="432" spans="3:3" x14ac:dyDescent="0.25">
      <c r="C432"/>
    </row>
    <row r="433" spans="3:3" x14ac:dyDescent="0.25">
      <c r="C433"/>
    </row>
    <row r="434" spans="3:3" x14ac:dyDescent="0.25">
      <c r="C434"/>
    </row>
    <row r="435" spans="3:3" x14ac:dyDescent="0.25">
      <c r="C435"/>
    </row>
    <row r="436" spans="3:3" x14ac:dyDescent="0.25">
      <c r="C436"/>
    </row>
    <row r="437" spans="3:3" x14ac:dyDescent="0.25">
      <c r="C437"/>
    </row>
    <row r="438" spans="3:3" x14ac:dyDescent="0.25">
      <c r="C438"/>
    </row>
    <row r="439" spans="3:3" x14ac:dyDescent="0.25">
      <c r="C439"/>
    </row>
    <row r="440" spans="3:3" x14ac:dyDescent="0.25">
      <c r="C440"/>
    </row>
    <row r="441" spans="3:3" x14ac:dyDescent="0.25">
      <c r="C441"/>
    </row>
    <row r="442" spans="3:3" x14ac:dyDescent="0.25">
      <c r="C442"/>
    </row>
    <row r="443" spans="3:3" x14ac:dyDescent="0.25">
      <c r="C443"/>
    </row>
    <row r="444" spans="3:3" x14ac:dyDescent="0.25">
      <c r="C444"/>
    </row>
    <row r="445" spans="3:3" x14ac:dyDescent="0.25">
      <c r="C445"/>
    </row>
    <row r="446" spans="3:3" x14ac:dyDescent="0.25">
      <c r="C446"/>
    </row>
    <row r="447" spans="3:3" x14ac:dyDescent="0.25">
      <c r="C447"/>
    </row>
    <row r="448" spans="3:3" x14ac:dyDescent="0.25">
      <c r="C448"/>
    </row>
    <row r="449" spans="3:3" x14ac:dyDescent="0.25">
      <c r="C449"/>
    </row>
    <row r="450" spans="3:3" x14ac:dyDescent="0.25">
      <c r="C450"/>
    </row>
    <row r="451" spans="3:3" x14ac:dyDescent="0.25">
      <c r="C451"/>
    </row>
    <row r="452" spans="3:3" x14ac:dyDescent="0.25">
      <c r="C452"/>
    </row>
    <row r="453" spans="3:3" x14ac:dyDescent="0.25">
      <c r="C453"/>
    </row>
    <row r="454" spans="3:3" x14ac:dyDescent="0.25">
      <c r="C454"/>
    </row>
    <row r="455" spans="3:3" x14ac:dyDescent="0.25">
      <c r="C455"/>
    </row>
    <row r="456" spans="3:3" x14ac:dyDescent="0.25">
      <c r="C456"/>
    </row>
    <row r="457" spans="3:3" x14ac:dyDescent="0.25">
      <c r="C457"/>
    </row>
    <row r="458" spans="3:3" x14ac:dyDescent="0.25">
      <c r="C458"/>
    </row>
    <row r="459" spans="3:3" x14ac:dyDescent="0.25">
      <c r="C459"/>
    </row>
    <row r="460" spans="3:3" x14ac:dyDescent="0.25">
      <c r="C460"/>
    </row>
    <row r="461" spans="3:3" x14ac:dyDescent="0.25">
      <c r="C461"/>
    </row>
    <row r="462" spans="3:3" x14ac:dyDescent="0.25">
      <c r="C462"/>
    </row>
    <row r="463" spans="3:3" x14ac:dyDescent="0.25">
      <c r="C463"/>
    </row>
    <row r="464" spans="3:3" x14ac:dyDescent="0.25">
      <c r="C464"/>
    </row>
    <row r="465" spans="3:3" x14ac:dyDescent="0.25">
      <c r="C465"/>
    </row>
    <row r="466" spans="3:3" x14ac:dyDescent="0.25">
      <c r="C466"/>
    </row>
    <row r="467" spans="3:3" x14ac:dyDescent="0.25">
      <c r="C467"/>
    </row>
    <row r="468" spans="3:3" x14ac:dyDescent="0.25">
      <c r="C468"/>
    </row>
    <row r="469" spans="3:3" x14ac:dyDescent="0.25">
      <c r="C469"/>
    </row>
    <row r="470" spans="3:3" x14ac:dyDescent="0.25">
      <c r="C470"/>
    </row>
    <row r="471" spans="3:3" x14ac:dyDescent="0.25">
      <c r="C471"/>
    </row>
    <row r="472" spans="3:3" x14ac:dyDescent="0.25">
      <c r="C472"/>
    </row>
    <row r="473" spans="3:3" x14ac:dyDescent="0.25">
      <c r="C473"/>
    </row>
    <row r="474" spans="3:3" x14ac:dyDescent="0.25">
      <c r="C474"/>
    </row>
    <row r="475" spans="3:3" x14ac:dyDescent="0.25">
      <c r="C475"/>
    </row>
    <row r="476" spans="3:3" x14ac:dyDescent="0.25">
      <c r="C476"/>
    </row>
    <row r="477" spans="3:3" x14ac:dyDescent="0.25">
      <c r="C477"/>
    </row>
    <row r="478" spans="3:3" x14ac:dyDescent="0.25">
      <c r="C478"/>
    </row>
    <row r="479" spans="3:3" x14ac:dyDescent="0.25">
      <c r="C479"/>
    </row>
    <row r="480" spans="3:3" x14ac:dyDescent="0.25">
      <c r="C480"/>
    </row>
    <row r="481" spans="3:3" x14ac:dyDescent="0.25">
      <c r="C481"/>
    </row>
    <row r="482" spans="3:3" x14ac:dyDescent="0.25">
      <c r="C482"/>
    </row>
    <row r="483" spans="3:3" x14ac:dyDescent="0.25">
      <c r="C483"/>
    </row>
    <row r="484" spans="3:3" x14ac:dyDescent="0.25">
      <c r="C484"/>
    </row>
    <row r="485" spans="3:3" x14ac:dyDescent="0.25">
      <c r="C485"/>
    </row>
    <row r="486" spans="3:3" x14ac:dyDescent="0.25">
      <c r="C486"/>
    </row>
    <row r="487" spans="3:3" x14ac:dyDescent="0.25">
      <c r="C487"/>
    </row>
    <row r="488" spans="3:3" x14ac:dyDescent="0.25">
      <c r="C488"/>
    </row>
    <row r="489" spans="3:3" x14ac:dyDescent="0.25">
      <c r="C489"/>
    </row>
    <row r="490" spans="3:3" x14ac:dyDescent="0.25">
      <c r="C490"/>
    </row>
    <row r="491" spans="3:3" x14ac:dyDescent="0.25">
      <c r="C491"/>
    </row>
    <row r="492" spans="3:3" x14ac:dyDescent="0.25">
      <c r="C492"/>
    </row>
    <row r="493" spans="3:3" x14ac:dyDescent="0.25">
      <c r="C493"/>
    </row>
    <row r="494" spans="3:3" x14ac:dyDescent="0.25">
      <c r="C494"/>
    </row>
    <row r="495" spans="3:3" x14ac:dyDescent="0.25">
      <c r="C495"/>
    </row>
    <row r="496" spans="3:3" x14ac:dyDescent="0.25">
      <c r="C496"/>
    </row>
    <row r="497" spans="3:3" x14ac:dyDescent="0.25">
      <c r="C497"/>
    </row>
    <row r="498" spans="3:3" x14ac:dyDescent="0.25">
      <c r="C498"/>
    </row>
    <row r="499" spans="3:3" x14ac:dyDescent="0.25">
      <c r="C499"/>
    </row>
    <row r="500" spans="3:3" x14ac:dyDescent="0.25">
      <c r="C500"/>
    </row>
    <row r="501" spans="3:3" x14ac:dyDescent="0.25">
      <c r="C501"/>
    </row>
    <row r="502" spans="3:3" x14ac:dyDescent="0.25">
      <c r="C502"/>
    </row>
    <row r="503" spans="3:3" x14ac:dyDescent="0.25">
      <c r="C503"/>
    </row>
    <row r="504" spans="3:3" x14ac:dyDescent="0.25">
      <c r="C504"/>
    </row>
    <row r="505" spans="3:3" x14ac:dyDescent="0.25">
      <c r="C505"/>
    </row>
    <row r="506" spans="3:3" x14ac:dyDescent="0.25">
      <c r="C506"/>
    </row>
    <row r="507" spans="3:3" x14ac:dyDescent="0.25">
      <c r="C507"/>
    </row>
    <row r="508" spans="3:3" x14ac:dyDescent="0.25">
      <c r="C508"/>
    </row>
    <row r="509" spans="3:3" x14ac:dyDescent="0.25">
      <c r="C509"/>
    </row>
    <row r="510" spans="3:3" x14ac:dyDescent="0.25">
      <c r="C510"/>
    </row>
    <row r="511" spans="3:3" x14ac:dyDescent="0.25">
      <c r="C511"/>
    </row>
    <row r="512" spans="3:3" x14ac:dyDescent="0.25">
      <c r="C512"/>
    </row>
    <row r="513" spans="3:3" x14ac:dyDescent="0.25">
      <c r="C513"/>
    </row>
    <row r="514" spans="3:3" x14ac:dyDescent="0.25">
      <c r="C514"/>
    </row>
    <row r="515" spans="3:3" x14ac:dyDescent="0.25">
      <c r="C515"/>
    </row>
    <row r="516" spans="3:3" x14ac:dyDescent="0.25">
      <c r="C516"/>
    </row>
    <row r="517" spans="3:3" x14ac:dyDescent="0.25">
      <c r="C517"/>
    </row>
    <row r="518" spans="3:3" x14ac:dyDescent="0.25">
      <c r="C518"/>
    </row>
    <row r="519" spans="3:3" x14ac:dyDescent="0.25">
      <c r="C519"/>
    </row>
    <row r="520" spans="3:3" x14ac:dyDescent="0.25">
      <c r="C520"/>
    </row>
    <row r="521" spans="3:3" x14ac:dyDescent="0.25">
      <c r="C521"/>
    </row>
    <row r="522" spans="3:3" x14ac:dyDescent="0.25">
      <c r="C522"/>
    </row>
    <row r="523" spans="3:3" x14ac:dyDescent="0.25">
      <c r="C523"/>
    </row>
    <row r="524" spans="3:3" x14ac:dyDescent="0.25">
      <c r="C524"/>
    </row>
    <row r="525" spans="3:3" x14ac:dyDescent="0.25">
      <c r="C525"/>
    </row>
    <row r="526" spans="3:3" x14ac:dyDescent="0.25">
      <c r="C526"/>
    </row>
    <row r="527" spans="3:3" x14ac:dyDescent="0.25">
      <c r="C527"/>
    </row>
    <row r="528" spans="3:3" x14ac:dyDescent="0.25">
      <c r="C528"/>
    </row>
    <row r="529" spans="3:3" x14ac:dyDescent="0.25">
      <c r="C529"/>
    </row>
    <row r="530" spans="3:3" x14ac:dyDescent="0.25">
      <c r="C530"/>
    </row>
    <row r="531" spans="3:3" x14ac:dyDescent="0.25">
      <c r="C531"/>
    </row>
    <row r="532" spans="3:3" x14ac:dyDescent="0.25">
      <c r="C532"/>
    </row>
    <row r="533" spans="3:3" x14ac:dyDescent="0.25">
      <c r="C533"/>
    </row>
    <row r="534" spans="3:3" x14ac:dyDescent="0.25">
      <c r="C534"/>
    </row>
    <row r="535" spans="3:3" x14ac:dyDescent="0.25">
      <c r="C535"/>
    </row>
    <row r="536" spans="3:3" x14ac:dyDescent="0.25">
      <c r="C536"/>
    </row>
    <row r="537" spans="3:3" x14ac:dyDescent="0.25">
      <c r="C537"/>
    </row>
    <row r="538" spans="3:3" x14ac:dyDescent="0.25">
      <c r="C538"/>
    </row>
    <row r="539" spans="3:3" x14ac:dyDescent="0.25">
      <c r="C539"/>
    </row>
    <row r="540" spans="3:3" x14ac:dyDescent="0.25">
      <c r="C540"/>
    </row>
    <row r="541" spans="3:3" x14ac:dyDescent="0.25">
      <c r="C541"/>
    </row>
    <row r="542" spans="3:3" x14ac:dyDescent="0.25">
      <c r="C542"/>
    </row>
    <row r="543" spans="3:3" x14ac:dyDescent="0.25">
      <c r="C543"/>
    </row>
    <row r="544" spans="3:3" x14ac:dyDescent="0.25">
      <c r="C544"/>
    </row>
    <row r="545" spans="3:3" x14ac:dyDescent="0.25">
      <c r="C545"/>
    </row>
    <row r="546" spans="3:3" x14ac:dyDescent="0.25">
      <c r="C546"/>
    </row>
    <row r="547" spans="3:3" x14ac:dyDescent="0.25">
      <c r="C547"/>
    </row>
    <row r="548" spans="3:3" x14ac:dyDescent="0.25">
      <c r="C548"/>
    </row>
    <row r="549" spans="3:3" x14ac:dyDescent="0.25">
      <c r="C549"/>
    </row>
    <row r="550" spans="3:3" x14ac:dyDescent="0.25">
      <c r="C550"/>
    </row>
    <row r="551" spans="3:3" x14ac:dyDescent="0.25">
      <c r="C551"/>
    </row>
    <row r="552" spans="3:3" x14ac:dyDescent="0.25">
      <c r="C552"/>
    </row>
    <row r="553" spans="3:3" x14ac:dyDescent="0.25">
      <c r="C553"/>
    </row>
    <row r="554" spans="3:3" x14ac:dyDescent="0.25">
      <c r="C554"/>
    </row>
    <row r="555" spans="3:3" x14ac:dyDescent="0.25">
      <c r="C555"/>
    </row>
    <row r="556" spans="3:3" x14ac:dyDescent="0.25">
      <c r="C556"/>
    </row>
    <row r="557" spans="3:3" x14ac:dyDescent="0.25">
      <c r="C557"/>
    </row>
    <row r="558" spans="3:3" x14ac:dyDescent="0.25">
      <c r="C558"/>
    </row>
    <row r="559" spans="3:3" x14ac:dyDescent="0.25">
      <c r="C559"/>
    </row>
    <row r="560" spans="3:3" x14ac:dyDescent="0.25">
      <c r="C560"/>
    </row>
    <row r="561" spans="3:3" x14ac:dyDescent="0.25">
      <c r="C561"/>
    </row>
    <row r="562" spans="3:3" x14ac:dyDescent="0.25">
      <c r="C562"/>
    </row>
    <row r="563" spans="3:3" x14ac:dyDescent="0.25">
      <c r="C563"/>
    </row>
    <row r="564" spans="3:3" x14ac:dyDescent="0.25">
      <c r="C564"/>
    </row>
    <row r="565" spans="3:3" x14ac:dyDescent="0.25">
      <c r="C565"/>
    </row>
    <row r="566" spans="3:3" x14ac:dyDescent="0.25">
      <c r="C566"/>
    </row>
    <row r="567" spans="3:3" x14ac:dyDescent="0.25">
      <c r="C567"/>
    </row>
    <row r="568" spans="3:3" x14ac:dyDescent="0.25">
      <c r="C568"/>
    </row>
    <row r="569" spans="3:3" x14ac:dyDescent="0.25">
      <c r="C569"/>
    </row>
    <row r="570" spans="3:3" x14ac:dyDescent="0.25">
      <c r="C570"/>
    </row>
    <row r="571" spans="3:3" x14ac:dyDescent="0.25">
      <c r="C571"/>
    </row>
    <row r="572" spans="3:3" x14ac:dyDescent="0.25">
      <c r="C572"/>
    </row>
    <row r="573" spans="3:3" x14ac:dyDescent="0.25">
      <c r="C573"/>
    </row>
    <row r="574" spans="3:3" x14ac:dyDescent="0.25">
      <c r="C574"/>
    </row>
    <row r="575" spans="3:3" x14ac:dyDescent="0.25">
      <c r="C575"/>
    </row>
    <row r="576" spans="3:3" x14ac:dyDescent="0.25">
      <c r="C576"/>
    </row>
    <row r="577" spans="3:3" x14ac:dyDescent="0.25">
      <c r="C577"/>
    </row>
    <row r="578" spans="3:3" x14ac:dyDescent="0.25">
      <c r="C578"/>
    </row>
    <row r="579" spans="3:3" x14ac:dyDescent="0.25">
      <c r="C579"/>
    </row>
    <row r="580" spans="3:3" x14ac:dyDescent="0.25">
      <c r="C580"/>
    </row>
    <row r="581" spans="3:3" x14ac:dyDescent="0.25">
      <c r="C581"/>
    </row>
    <row r="582" spans="3:3" x14ac:dyDescent="0.25">
      <c r="C582"/>
    </row>
    <row r="583" spans="3:3" x14ac:dyDescent="0.25">
      <c r="C583"/>
    </row>
    <row r="584" spans="3:3" x14ac:dyDescent="0.25">
      <c r="C584"/>
    </row>
    <row r="585" spans="3:3" x14ac:dyDescent="0.25">
      <c r="C585"/>
    </row>
    <row r="586" spans="3:3" x14ac:dyDescent="0.25">
      <c r="C586"/>
    </row>
    <row r="587" spans="3:3" x14ac:dyDescent="0.25">
      <c r="C587"/>
    </row>
    <row r="588" spans="3:3" x14ac:dyDescent="0.25">
      <c r="C588"/>
    </row>
    <row r="589" spans="3:3" x14ac:dyDescent="0.25">
      <c r="C589"/>
    </row>
    <row r="590" spans="3:3" x14ac:dyDescent="0.25">
      <c r="C590"/>
    </row>
    <row r="591" spans="3:3" x14ac:dyDescent="0.25">
      <c r="C591"/>
    </row>
    <row r="592" spans="3:3" x14ac:dyDescent="0.25">
      <c r="C592"/>
    </row>
    <row r="593" spans="3:3" x14ac:dyDescent="0.25">
      <c r="C593"/>
    </row>
    <row r="594" spans="3:3" x14ac:dyDescent="0.25">
      <c r="C594"/>
    </row>
    <row r="595" spans="3:3" x14ac:dyDescent="0.25">
      <c r="C595"/>
    </row>
    <row r="596" spans="3:3" x14ac:dyDescent="0.25">
      <c r="C596"/>
    </row>
    <row r="597" spans="3:3" x14ac:dyDescent="0.25">
      <c r="C597"/>
    </row>
    <row r="598" spans="3:3" x14ac:dyDescent="0.25">
      <c r="C598"/>
    </row>
    <row r="599" spans="3:3" x14ac:dyDescent="0.25">
      <c r="C599"/>
    </row>
    <row r="600" spans="3:3" x14ac:dyDescent="0.25">
      <c r="C600"/>
    </row>
    <row r="601" spans="3:3" x14ac:dyDescent="0.25">
      <c r="C601"/>
    </row>
    <row r="602" spans="3:3" x14ac:dyDescent="0.25">
      <c r="C602"/>
    </row>
    <row r="603" spans="3:3" x14ac:dyDescent="0.25">
      <c r="C603"/>
    </row>
    <row r="604" spans="3:3" x14ac:dyDescent="0.25">
      <c r="C604"/>
    </row>
    <row r="605" spans="3:3" x14ac:dyDescent="0.25">
      <c r="C605"/>
    </row>
    <row r="606" spans="3:3" x14ac:dyDescent="0.25">
      <c r="C606"/>
    </row>
    <row r="607" spans="3:3" x14ac:dyDescent="0.25">
      <c r="C607"/>
    </row>
    <row r="608" spans="3:3" x14ac:dyDescent="0.25">
      <c r="C608"/>
    </row>
    <row r="609" spans="3:3" x14ac:dyDescent="0.25">
      <c r="C609"/>
    </row>
    <row r="610" spans="3:3" x14ac:dyDescent="0.25">
      <c r="C610"/>
    </row>
    <row r="611" spans="3:3" x14ac:dyDescent="0.25">
      <c r="C611"/>
    </row>
    <row r="612" spans="3:3" x14ac:dyDescent="0.25">
      <c r="C612"/>
    </row>
    <row r="613" spans="3:3" x14ac:dyDescent="0.25">
      <c r="C613"/>
    </row>
    <row r="614" spans="3:3" x14ac:dyDescent="0.25">
      <c r="C614"/>
    </row>
    <row r="615" spans="3:3" x14ac:dyDescent="0.25">
      <c r="C615"/>
    </row>
    <row r="616" spans="3:3" x14ac:dyDescent="0.25">
      <c r="C616"/>
    </row>
  </sheetData>
  <mergeCells count="9">
    <mergeCell ref="D24:E24"/>
    <mergeCell ref="D25:E25"/>
    <mergeCell ref="A1:J1"/>
    <mergeCell ref="A2:J2"/>
    <mergeCell ref="A4:A5"/>
    <mergeCell ref="B4:D4"/>
    <mergeCell ref="E4:H4"/>
    <mergeCell ref="I4:I5"/>
    <mergeCell ref="J4:J5"/>
  </mergeCells>
  <phoneticPr fontId="3" type="noConversion"/>
  <pageMargins left="0.7" right="0.7" top="0.75" bottom="0.75" header="0.3" footer="0.3"/>
  <pageSetup paperSize="9" scale="8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星宏 吳</cp:lastModifiedBy>
  <cp:lastPrinted>2026-07-29T06:00:47Z</cp:lastPrinted>
  <dcterms:created xsi:type="dcterms:W3CDTF">2015-06-05T18:19:34Z</dcterms:created>
  <dcterms:modified xsi:type="dcterms:W3CDTF">2026-07-29T06:02:57Z</dcterms:modified>
</cp:coreProperties>
</file>