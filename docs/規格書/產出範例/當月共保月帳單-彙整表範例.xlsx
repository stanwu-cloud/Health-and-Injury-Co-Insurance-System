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產出範例/"/>
    </mc:Choice>
  </mc:AlternateContent>
  <xr:revisionPtr revIDLastSave="100" documentId="11_AD4DBB64A54DDB1B405E389605D904C94E90DF19" xr6:coauthVersionLast="47" xr6:coauthVersionMax="47" xr10:uidLastSave="{96BFAF48-E141-4864-8EBB-32B95E3166FE}"/>
  <bookViews>
    <workbookView xWindow="28680" yWindow="-8370" windowWidth="16440" windowHeight="28320" tabRatio="481" xr2:uid="{00000000-000D-0000-FFFF-FFFF00000000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D7" i="2" l="1"/>
  <c r="F7" i="2"/>
  <c r="G7" i="2"/>
  <c r="H7" i="2" s="1"/>
  <c r="I7" i="2"/>
  <c r="D8" i="2"/>
  <c r="F8" i="2"/>
  <c r="D9" i="2"/>
  <c r="D10" i="2"/>
  <c r="D11" i="2"/>
  <c r="F11" i="2"/>
  <c r="G11" i="2"/>
  <c r="H11" i="2"/>
  <c r="I11" i="2"/>
  <c r="J11" i="2"/>
  <c r="D12" i="2"/>
  <c r="F12" i="2"/>
  <c r="D13" i="2"/>
  <c r="D14" i="2"/>
  <c r="D15" i="2"/>
  <c r="F15" i="2"/>
  <c r="H15" i="2" s="1"/>
  <c r="G15" i="2"/>
  <c r="D16" i="2"/>
  <c r="F16" i="2"/>
  <c r="D17" i="2"/>
  <c r="D18" i="2"/>
  <c r="D19" i="2"/>
  <c r="F19" i="2"/>
  <c r="G19" i="2"/>
  <c r="H19" i="2"/>
  <c r="I19" i="2"/>
  <c r="J19" i="2"/>
  <c r="D20" i="2"/>
  <c r="F20" i="2"/>
  <c r="D21" i="2"/>
  <c r="D22" i="2"/>
  <c r="B23" i="2"/>
  <c r="F9" i="2" s="1"/>
  <c r="C23" i="2"/>
  <c r="G8" i="2" s="1"/>
  <c r="E23" i="2"/>
  <c r="I9" i="2" l="1"/>
  <c r="H8" i="2"/>
  <c r="J7" i="2"/>
  <c r="I15" i="2"/>
  <c r="J15" i="2" s="1"/>
  <c r="D23" i="2"/>
  <c r="G18" i="2"/>
  <c r="G14" i="2"/>
  <c r="G22" i="2" s="1"/>
  <c r="G10" i="2"/>
  <c r="F18" i="2"/>
  <c r="F14" i="2"/>
  <c r="F10" i="2"/>
  <c r="G21" i="2"/>
  <c r="G17" i="2"/>
  <c r="G13" i="2"/>
  <c r="G9" i="2"/>
  <c r="G23" i="2" s="1"/>
  <c r="F21" i="2"/>
  <c r="F17" i="2"/>
  <c r="F13" i="2"/>
  <c r="I20" i="2"/>
  <c r="I16" i="2"/>
  <c r="I12" i="2"/>
  <c r="I8" i="2"/>
  <c r="G20" i="2"/>
  <c r="H20" i="2" s="1"/>
  <c r="J20" i="2" s="1"/>
  <c r="G16" i="2"/>
  <c r="H16" i="2" s="1"/>
  <c r="J16" i="2" s="1"/>
  <c r="G12" i="2"/>
  <c r="H12" i="2" s="1"/>
  <c r="J12" i="2" s="1"/>
  <c r="H13" i="2" l="1"/>
  <c r="I13" i="2"/>
  <c r="H17" i="2"/>
  <c r="I17" i="2"/>
  <c r="H21" i="2"/>
  <c r="I21" i="2"/>
  <c r="J8" i="2"/>
  <c r="H10" i="2"/>
  <c r="I10" i="2"/>
  <c r="H14" i="2"/>
  <c r="I14" i="2"/>
  <c r="H18" i="2"/>
  <c r="I18" i="2"/>
  <c r="H9" i="2"/>
  <c r="J9" i="2" l="1"/>
  <c r="H22" i="2"/>
  <c r="H23" i="2" s="1"/>
  <c r="I22" i="2"/>
  <c r="I23" i="2" s="1"/>
  <c r="J18" i="2"/>
  <c r="J14" i="2"/>
  <c r="J10" i="2"/>
  <c r="J21" i="2"/>
  <c r="J17" i="2"/>
  <c r="J13" i="2"/>
  <c r="J22" i="2" l="1"/>
  <c r="J23" i="2" s="1"/>
</calcChain>
</file>

<file path=xl/sharedStrings.xml><?xml version="1.0" encoding="utf-8"?>
<sst xmlns="http://schemas.openxmlformats.org/spreadsheetml/2006/main" count="48" uniqueCount="47">
  <si>
    <t>執行災害防救業務志工團體保險共保組織</t>
    <phoneticPr fontId="3" type="noConversion"/>
  </si>
  <si>
    <t>Ｕ/Y：2026</t>
    <phoneticPr fontId="3" type="noConversion"/>
  </si>
  <si>
    <r>
      <t>公司名稱</t>
    </r>
    <r>
      <rPr>
        <b/>
        <sz val="14"/>
        <rFont val="Times New Roman"/>
        <family val="1"/>
      </rPr>
      <t>(1)</t>
    </r>
    <phoneticPr fontId="3" type="noConversion"/>
  </si>
  <si>
    <t>同業納入共保明細</t>
  </si>
  <si>
    <t>共保回分同業明細</t>
  </si>
  <si>
    <r>
      <t>應繳共保管理會費</t>
    </r>
    <r>
      <rPr>
        <b/>
        <sz val="14"/>
        <rFont val="Times New Roman"/>
        <family val="1"/>
      </rPr>
      <t>(9)</t>
    </r>
    <phoneticPr fontId="3" type="noConversion"/>
  </si>
  <si>
    <t>淨收(付)共保費)(10)</t>
    <phoneticPr fontId="3" type="noConversion"/>
  </si>
  <si>
    <r>
      <t>保費</t>
    </r>
    <r>
      <rPr>
        <b/>
        <sz val="8"/>
        <rFont val="Times New Roman"/>
        <family val="1"/>
      </rPr>
      <t>(2)</t>
    </r>
    <phoneticPr fontId="3" type="noConversion"/>
  </si>
  <si>
    <t>已付賠款(3)</t>
    <phoneticPr fontId="3" type="noConversion"/>
  </si>
  <si>
    <t>應收（付）淨額(4)</t>
    <phoneticPr fontId="3" type="noConversion"/>
  </si>
  <si>
    <t>共保成分(5)</t>
    <phoneticPr fontId="3" type="noConversion"/>
  </si>
  <si>
    <r>
      <t>應攤配賠款</t>
    </r>
    <r>
      <rPr>
        <b/>
        <sz val="8"/>
        <rFont val="Times New Roman"/>
        <family val="1"/>
      </rPr>
      <t>(7)</t>
    </r>
    <phoneticPr fontId="3" type="noConversion"/>
  </si>
  <si>
    <t>應攤收(付)淨額(8)</t>
    <phoneticPr fontId="3" type="noConversion"/>
  </si>
  <si>
    <t>計算說明</t>
    <phoneticPr fontId="3" type="noConversion"/>
  </si>
  <si>
    <t>由當月資料總計</t>
    <phoneticPr fontId="3" type="noConversion"/>
  </si>
  <si>
    <t>(4) = (2) + (3)</t>
    <phoneticPr fontId="3" type="noConversion"/>
  </si>
  <si>
    <t>查成分表</t>
    <phoneticPr fontId="3" type="noConversion"/>
  </si>
  <si>
    <t>(6)=SUM(2)X(5)</t>
    <phoneticPr fontId="3" type="noConversion"/>
  </si>
  <si>
    <t>(7)=SUM(3)X(5)</t>
    <phoneticPr fontId="3" type="noConversion"/>
  </si>
  <si>
    <t>(8)=(6)+(7)</t>
    <phoneticPr fontId="3" type="noConversion"/>
  </si>
  <si>
    <t>(9)=(6)x5%</t>
    <phoneticPr fontId="3" type="noConversion"/>
  </si>
  <si>
    <t>(10)=(4)+(8)+(9)</t>
    <phoneticPr fontId="3" type="noConversion"/>
  </si>
  <si>
    <t>台灣人壽</t>
    <phoneticPr fontId="3" type="noConversion"/>
  </si>
  <si>
    <t>國泰人壽</t>
    <phoneticPr fontId="3" type="noConversion"/>
  </si>
  <si>
    <t>凱基人壽</t>
    <phoneticPr fontId="3" type="noConversion"/>
  </si>
  <si>
    <t>南山人壽</t>
    <phoneticPr fontId="3" type="noConversion"/>
  </si>
  <si>
    <t>新光人壽</t>
    <phoneticPr fontId="3" type="noConversion"/>
  </si>
  <si>
    <t>三商美邦人壽</t>
    <phoneticPr fontId="3" type="noConversion"/>
  </si>
  <si>
    <t>富邦人壽</t>
    <phoneticPr fontId="3" type="noConversion"/>
  </si>
  <si>
    <t>全球人壽</t>
    <phoneticPr fontId="3" type="noConversion"/>
  </si>
  <si>
    <t>中央再保</t>
    <phoneticPr fontId="3" type="noConversion"/>
  </si>
  <si>
    <t>富邦產險</t>
    <phoneticPr fontId="3" type="noConversion"/>
  </si>
  <si>
    <t>和泰產險</t>
    <phoneticPr fontId="3" type="noConversion"/>
  </si>
  <si>
    <t>泰安產險</t>
    <phoneticPr fontId="3" type="noConversion"/>
  </si>
  <si>
    <t>明台產險</t>
    <phoneticPr fontId="3" type="noConversion"/>
  </si>
  <si>
    <t>新光產險</t>
    <phoneticPr fontId="3" type="noConversion"/>
  </si>
  <si>
    <t>國泰產險</t>
    <phoneticPr fontId="3" type="noConversion"/>
  </si>
  <si>
    <t>合計</t>
    <phoneticPr fontId="3" type="noConversion"/>
  </si>
  <si>
    <t>單位：新台幣元</t>
    <phoneticPr fontId="3" type="noConversion"/>
  </si>
  <si>
    <t>覆核：</t>
    <phoneticPr fontId="3" type="noConversion"/>
  </si>
  <si>
    <t>秘書：</t>
    <phoneticPr fontId="3" type="noConversion"/>
  </si>
  <si>
    <t>共保月帳單</t>
    <phoneticPr fontId="3" type="noConversion"/>
  </si>
  <si>
    <t>秘書長：</t>
    <phoneticPr fontId="3" type="noConversion"/>
  </si>
  <si>
    <t xml:space="preserve">    製表：</t>
    <phoneticPr fontId="12" type="noConversion"/>
  </si>
  <si>
    <t>華南產險</t>
    <phoneticPr fontId="12" type="noConversion"/>
  </si>
  <si>
    <t>資料統計年月：115年05月</t>
    <phoneticPr fontId="3" type="noConversion"/>
  </si>
  <si>
    <t>應分配保費(6)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</si>
</sst>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_-* #,##0.0_-;\-* #,##0.0_-;_-* &quot;-&quot;??_-;_-@_-"/>
    <numFmt numFmtId="178" formatCode="0.0%"/>
  </numFmts>
  <fonts count="14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14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/>
    <xf numFmtId="0" fontId="4" fillId="0" borderId="0" xfId="1" applyFont="1"/>
    <xf numFmtId="10" fontId="4" fillId="0" borderId="0" xfId="2" applyNumberFormat="1" applyFont="1" applyBorder="1" applyAlignment="1">
      <alignment horizontal="centerContinuous"/>
    </xf>
    <xf numFmtId="0" fontId="4" fillId="2" borderId="0" xfId="1" applyFont="1" applyFill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right"/>
    </xf>
    <xf numFmtId="49" fontId="8" fillId="0" borderId="8" xfId="1" applyNumberFormat="1" applyFont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176" fontId="10" fillId="0" borderId="18" xfId="3" applyNumberFormat="1" applyFont="1" applyBorder="1" applyAlignment="1">
      <alignment horizontal="right" wrapText="1"/>
    </xf>
    <xf numFmtId="176" fontId="10" fillId="0" borderId="12" xfId="3" applyNumberFormat="1" applyFont="1" applyBorder="1" applyAlignment="1">
      <alignment horizontal="right" wrapText="1"/>
    </xf>
    <xf numFmtId="176" fontId="10" fillId="0" borderId="19" xfId="3" applyNumberFormat="1" applyFont="1" applyBorder="1" applyAlignment="1">
      <alignment horizontal="right" wrapText="1"/>
    </xf>
    <xf numFmtId="176" fontId="10" fillId="0" borderId="11" xfId="3" applyNumberFormat="1" applyFont="1" applyBorder="1" applyAlignment="1">
      <alignment horizontal="right" wrapText="1"/>
    </xf>
    <xf numFmtId="0" fontId="10" fillId="0" borderId="20" xfId="1" applyFont="1" applyBorder="1" applyAlignment="1">
      <alignment horizontal="center" vertical="center"/>
    </xf>
    <xf numFmtId="176" fontId="10" fillId="0" borderId="21" xfId="3" applyNumberFormat="1" applyFont="1" applyBorder="1" applyAlignment="1">
      <alignment horizontal="right" wrapText="1"/>
    </xf>
    <xf numFmtId="176" fontId="10" fillId="0" borderId="22" xfId="3" applyNumberFormat="1" applyFont="1" applyBorder="1" applyAlignment="1">
      <alignment horizontal="right" wrapText="1"/>
    </xf>
    <xf numFmtId="176" fontId="10" fillId="0" borderId="14" xfId="3" applyNumberFormat="1" applyFont="1" applyBorder="1" applyAlignment="1">
      <alignment horizontal="right" wrapText="1"/>
    </xf>
    <xf numFmtId="176" fontId="10" fillId="0" borderId="16" xfId="3" applyNumberFormat="1" applyFont="1" applyBorder="1" applyAlignment="1">
      <alignment horizontal="right" wrapText="1"/>
    </xf>
    <xf numFmtId="176" fontId="10" fillId="0" borderId="15" xfId="3" applyNumberFormat="1" applyFont="1" applyBorder="1" applyAlignment="1">
      <alignment horizontal="right" wrapText="1"/>
    </xf>
    <xf numFmtId="177" fontId="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0" fontId="0" fillId="2" borderId="0" xfId="0" applyFill="1"/>
    <xf numFmtId="0" fontId="8" fillId="3" borderId="1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49" fontId="9" fillId="3" borderId="16" xfId="1" applyNumberFormat="1" applyFont="1" applyFill="1" applyBorder="1" applyAlignment="1">
      <alignment horizontal="center" vertical="center" wrapText="1"/>
    </xf>
    <xf numFmtId="49" fontId="8" fillId="3" borderId="14" xfId="1" applyNumberFormat="1" applyFont="1" applyFill="1" applyBorder="1" applyAlignment="1">
      <alignment horizontal="center" vertical="center" wrapText="1"/>
    </xf>
    <xf numFmtId="49" fontId="9" fillId="3" borderId="15" xfId="1" applyNumberFormat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78" fontId="10" fillId="0" borderId="18" xfId="2" applyNumberFormat="1" applyFont="1" applyFill="1" applyBorder="1" applyAlignment="1">
      <alignment horizontal="right" wrapText="1"/>
    </xf>
    <xf numFmtId="9" fontId="10" fillId="0" borderId="18" xfId="2" applyFont="1" applyFill="1" applyBorder="1" applyAlignment="1">
      <alignment horizontal="right" wrapText="1"/>
    </xf>
    <xf numFmtId="0" fontId="10" fillId="0" borderId="23" xfId="1" applyFont="1" applyBorder="1" applyAlignment="1">
      <alignment horizontal="center" wrapText="1"/>
    </xf>
    <xf numFmtId="176" fontId="10" fillId="0" borderId="24" xfId="3" applyNumberFormat="1" applyFont="1" applyBorder="1" applyAlignment="1">
      <alignment horizontal="right" wrapText="1"/>
    </xf>
    <xf numFmtId="176" fontId="10" fillId="0" borderId="17" xfId="3" applyNumberFormat="1" applyFont="1" applyBorder="1" applyAlignment="1">
      <alignment horizontal="right" wrapText="1"/>
    </xf>
    <xf numFmtId="9" fontId="10" fillId="0" borderId="14" xfId="4" applyFont="1" applyBorder="1" applyAlignment="1">
      <alignment horizontal="right" wrapText="1"/>
    </xf>
    <xf numFmtId="177" fontId="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</cellXfs>
  <cellStyles count="5">
    <cellStyle name="一般" xfId="0" builtinId="0"/>
    <cellStyle name="一般 3" xfId="1" xr:uid="{42C6C4FF-F8F3-4020-BA8D-9804516ED186}"/>
    <cellStyle name="千分位 2" xfId="3" xr:uid="{E7CB5AA0-82F0-4194-88FF-6968C036EA43}"/>
    <cellStyle name="百分比" xfId="4" builtinId="5"/>
    <cellStyle name="百分比 3" xfId="2" xr:uid="{79F13C62-BF51-463F-94C5-817FF57CF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DA7A-E2BD-43F0-97A5-24414582321F}">
  <sheetPr>
    <pageSetUpPr fitToPage="1"/>
  </sheetPr>
  <dimension ref="A1:L616"/>
  <sheetViews>
    <sheetView tabSelected="1" zoomScale="115" zoomScaleNormal="115" workbookViewId="0">
      <selection activeCell="F24" sqref="F24"/>
    </sheetView>
  </sheetViews>
  <sheetFormatPr defaultRowHeight="15.75" x14ac:dyDescent="0.25"/>
  <cols>
    <col min="1" max="1" width="19.28515625" bestFit="1" customWidth="1"/>
    <col min="2" max="2" width="15.140625" customWidth="1"/>
    <col min="3" max="3" width="16.28515625" style="25" customWidth="1"/>
    <col min="4" max="4" width="15" customWidth="1"/>
    <col min="5" max="5" width="13.7109375" customWidth="1"/>
    <col min="6" max="6" width="14.5703125" customWidth="1"/>
    <col min="7" max="7" width="16.85546875" customWidth="1"/>
    <col min="8" max="8" width="14.42578125" customWidth="1"/>
    <col min="9" max="9" width="19.5703125" customWidth="1"/>
    <col min="10" max="10" width="19.140625" customWidth="1"/>
  </cols>
  <sheetData>
    <row r="1" spans="1:10" ht="32.25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 x14ac:dyDescent="0.3">
      <c r="A2" s="43" t="s">
        <v>41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1.75" thickBot="1" x14ac:dyDescent="0.35">
      <c r="A3" s="2" t="s">
        <v>1</v>
      </c>
      <c r="B3" s="3"/>
      <c r="C3" s="4"/>
      <c r="D3" s="2"/>
      <c r="E3" s="5" t="s">
        <v>45</v>
      </c>
      <c r="F3" s="2"/>
      <c r="G3" s="2"/>
      <c r="H3" s="2"/>
      <c r="I3" s="6"/>
      <c r="J3" s="7" t="s">
        <v>38</v>
      </c>
    </row>
    <row r="4" spans="1:10" ht="19.5" customHeight="1" x14ac:dyDescent="0.25">
      <c r="A4" s="44" t="s">
        <v>2</v>
      </c>
      <c r="B4" s="46" t="s">
        <v>3</v>
      </c>
      <c r="C4" s="47"/>
      <c r="D4" s="48"/>
      <c r="E4" s="46" t="s">
        <v>4</v>
      </c>
      <c r="F4" s="47"/>
      <c r="G4" s="47"/>
      <c r="H4" s="48"/>
      <c r="I4" s="49" t="s">
        <v>5</v>
      </c>
      <c r="J4" s="51" t="s">
        <v>6</v>
      </c>
    </row>
    <row r="5" spans="1:10" x14ac:dyDescent="0.25">
      <c r="A5" s="45"/>
      <c r="B5" s="8" t="s">
        <v>7</v>
      </c>
      <c r="C5" s="9" t="s">
        <v>8</v>
      </c>
      <c r="D5" s="10" t="s">
        <v>9</v>
      </c>
      <c r="E5" s="8" t="s">
        <v>10</v>
      </c>
      <c r="F5" s="11" t="s">
        <v>46</v>
      </c>
      <c r="G5" s="11" t="s">
        <v>11</v>
      </c>
      <c r="H5" s="10" t="s">
        <v>12</v>
      </c>
      <c r="I5" s="50"/>
      <c r="J5" s="52"/>
    </row>
    <row r="6" spans="1:10" ht="16.5" thickBot="1" x14ac:dyDescent="0.3">
      <c r="A6" s="26" t="s">
        <v>13</v>
      </c>
      <c r="B6" s="27" t="s">
        <v>14</v>
      </c>
      <c r="C6" s="28" t="s">
        <v>14</v>
      </c>
      <c r="D6" s="29" t="s">
        <v>15</v>
      </c>
      <c r="E6" s="30" t="s">
        <v>16</v>
      </c>
      <c r="F6" s="31" t="s">
        <v>17</v>
      </c>
      <c r="G6" s="31" t="s">
        <v>18</v>
      </c>
      <c r="H6" s="29" t="s">
        <v>19</v>
      </c>
      <c r="I6" s="32" t="s">
        <v>20</v>
      </c>
      <c r="J6" s="33" t="s">
        <v>21</v>
      </c>
    </row>
    <row r="7" spans="1:10" ht="19.5" x14ac:dyDescent="0.3">
      <c r="A7" s="12" t="s">
        <v>22</v>
      </c>
      <c r="B7" s="13">
        <v>0</v>
      </c>
      <c r="C7" s="15">
        <v>0</v>
      </c>
      <c r="D7" s="14">
        <f>C7+B7</f>
        <v>0</v>
      </c>
      <c r="E7" s="34">
        <v>7.4999999999999997E-2</v>
      </c>
      <c r="F7" s="15">
        <f>ROUND(($B$23*E7*-1),0)</f>
        <v>-26259</v>
      </c>
      <c r="G7" s="15">
        <f>ROUND(($C$23*E7*-1),0)</f>
        <v>-9520</v>
      </c>
      <c r="H7" s="14">
        <f>F7+G7</f>
        <v>-35779</v>
      </c>
      <c r="I7" s="16">
        <f>ROUND((F7*0.05*-1),0)</f>
        <v>1313</v>
      </c>
      <c r="J7" s="14">
        <f>D7+H7+I7</f>
        <v>-34466</v>
      </c>
    </row>
    <row r="8" spans="1:10" ht="19.5" x14ac:dyDescent="0.3">
      <c r="A8" s="17" t="s">
        <v>23</v>
      </c>
      <c r="B8" s="13">
        <v>0</v>
      </c>
      <c r="C8" s="18">
        <v>0</v>
      </c>
      <c r="D8" s="14">
        <f t="shared" ref="D8:D20" si="0">C8+B8</f>
        <v>0</v>
      </c>
      <c r="E8" s="34">
        <v>7.4999999999999997E-2</v>
      </c>
      <c r="F8" s="15">
        <f>ROUND(($B$23*E8*-1),0)</f>
        <v>-26259</v>
      </c>
      <c r="G8" s="18">
        <f>ROUND(($C$23*E8*-1),0)</f>
        <v>-9520</v>
      </c>
      <c r="H8" s="14">
        <f t="shared" ref="H8:H20" si="1">F8+G8</f>
        <v>-35779</v>
      </c>
      <c r="I8" s="16">
        <f t="shared" ref="I8:I20" si="2">ROUND((F8*0.05*-1),0)</f>
        <v>1313</v>
      </c>
      <c r="J8" s="14">
        <f t="shared" ref="J8:J20" si="3">D8+H8+I8</f>
        <v>-34466</v>
      </c>
    </row>
    <row r="9" spans="1:10" ht="19.5" x14ac:dyDescent="0.3">
      <c r="A9" s="17" t="s">
        <v>24</v>
      </c>
      <c r="B9" s="13">
        <v>0</v>
      </c>
      <c r="C9" s="18">
        <v>0</v>
      </c>
      <c r="D9" s="14">
        <f t="shared" si="0"/>
        <v>0</v>
      </c>
      <c r="E9" s="34">
        <v>7.4999999999999997E-2</v>
      </c>
      <c r="F9" s="15">
        <f t="shared" ref="F9:F21" si="4">ROUND(($B$23*E9*-1),0)</f>
        <v>-26259</v>
      </c>
      <c r="G9" s="18">
        <f t="shared" ref="G9:G21" si="5">ROUND(($C$23*E9*-1),0)</f>
        <v>-9520</v>
      </c>
      <c r="H9" s="14">
        <f t="shared" si="1"/>
        <v>-35779</v>
      </c>
      <c r="I9" s="16">
        <f t="shared" si="2"/>
        <v>1313</v>
      </c>
      <c r="J9" s="14">
        <f t="shared" si="3"/>
        <v>-34466</v>
      </c>
    </row>
    <row r="10" spans="1:10" ht="19.5" x14ac:dyDescent="0.3">
      <c r="A10" s="17" t="s">
        <v>25</v>
      </c>
      <c r="B10" s="13">
        <v>0</v>
      </c>
      <c r="C10" s="18">
        <v>0</v>
      </c>
      <c r="D10" s="14">
        <f t="shared" si="0"/>
        <v>0</v>
      </c>
      <c r="E10" s="34">
        <v>7.4999999999999997E-2</v>
      </c>
      <c r="F10" s="15">
        <f t="shared" si="4"/>
        <v>-26259</v>
      </c>
      <c r="G10" s="18">
        <f t="shared" si="5"/>
        <v>-9520</v>
      </c>
      <c r="H10" s="14">
        <f t="shared" si="1"/>
        <v>-35779</v>
      </c>
      <c r="I10" s="16">
        <f t="shared" si="2"/>
        <v>1313</v>
      </c>
      <c r="J10" s="14">
        <f t="shared" si="3"/>
        <v>-34466</v>
      </c>
    </row>
    <row r="11" spans="1:10" ht="19.5" x14ac:dyDescent="0.3">
      <c r="A11" s="17" t="s">
        <v>26</v>
      </c>
      <c r="B11" s="13">
        <v>0</v>
      </c>
      <c r="C11" s="18">
        <v>0</v>
      </c>
      <c r="D11" s="14">
        <f t="shared" si="0"/>
        <v>0</v>
      </c>
      <c r="E11" s="34">
        <v>7.4999999999999997E-2</v>
      </c>
      <c r="F11" s="15">
        <f t="shared" si="4"/>
        <v>-26259</v>
      </c>
      <c r="G11" s="18">
        <f t="shared" si="5"/>
        <v>-9520</v>
      </c>
      <c r="H11" s="14">
        <f t="shared" si="1"/>
        <v>-35779</v>
      </c>
      <c r="I11" s="16">
        <f t="shared" si="2"/>
        <v>1313</v>
      </c>
      <c r="J11" s="14">
        <f t="shared" si="3"/>
        <v>-34466</v>
      </c>
    </row>
    <row r="12" spans="1:10" ht="19.5" x14ac:dyDescent="0.3">
      <c r="A12" s="17" t="s">
        <v>27</v>
      </c>
      <c r="B12" s="13">
        <v>0</v>
      </c>
      <c r="C12" s="18">
        <v>0</v>
      </c>
      <c r="D12" s="14">
        <f t="shared" si="0"/>
        <v>0</v>
      </c>
      <c r="E12" s="34">
        <v>7.4999999999999997E-2</v>
      </c>
      <c r="F12" s="15">
        <f t="shared" si="4"/>
        <v>-26259</v>
      </c>
      <c r="G12" s="18">
        <f t="shared" si="5"/>
        <v>-9520</v>
      </c>
      <c r="H12" s="14">
        <f t="shared" si="1"/>
        <v>-35779</v>
      </c>
      <c r="I12" s="16">
        <f t="shared" si="2"/>
        <v>1313</v>
      </c>
      <c r="J12" s="14">
        <f t="shared" si="3"/>
        <v>-34466</v>
      </c>
    </row>
    <row r="13" spans="1:10" ht="19.5" x14ac:dyDescent="0.3">
      <c r="A13" s="17" t="s">
        <v>28</v>
      </c>
      <c r="B13" s="13">
        <v>0</v>
      </c>
      <c r="C13" s="18">
        <v>0</v>
      </c>
      <c r="D13" s="14">
        <f t="shared" si="0"/>
        <v>0</v>
      </c>
      <c r="E13" s="34">
        <v>7.4999999999999997E-2</v>
      </c>
      <c r="F13" s="15">
        <f t="shared" si="4"/>
        <v>-26259</v>
      </c>
      <c r="G13" s="18">
        <f t="shared" si="5"/>
        <v>-9520</v>
      </c>
      <c r="H13" s="14">
        <f t="shared" si="1"/>
        <v>-35779</v>
      </c>
      <c r="I13" s="16">
        <f t="shared" si="2"/>
        <v>1313</v>
      </c>
      <c r="J13" s="14">
        <f t="shared" si="3"/>
        <v>-34466</v>
      </c>
    </row>
    <row r="14" spans="1:10" ht="19.5" x14ac:dyDescent="0.3">
      <c r="A14" s="17" t="s">
        <v>29</v>
      </c>
      <c r="B14" s="13">
        <v>0</v>
      </c>
      <c r="C14" s="18">
        <v>0</v>
      </c>
      <c r="D14" s="14">
        <f t="shared" si="0"/>
        <v>0</v>
      </c>
      <c r="E14" s="34">
        <v>7.4999999999999997E-2</v>
      </c>
      <c r="F14" s="15">
        <f t="shared" si="4"/>
        <v>-26259</v>
      </c>
      <c r="G14" s="18">
        <f t="shared" si="5"/>
        <v>-9520</v>
      </c>
      <c r="H14" s="14">
        <f t="shared" si="1"/>
        <v>-35779</v>
      </c>
      <c r="I14" s="16">
        <f t="shared" si="2"/>
        <v>1313</v>
      </c>
      <c r="J14" s="14">
        <f t="shared" si="3"/>
        <v>-34466</v>
      </c>
    </row>
    <row r="15" spans="1:10" ht="19.5" x14ac:dyDescent="0.3">
      <c r="A15" s="17" t="s">
        <v>31</v>
      </c>
      <c r="B15" s="13">
        <v>350123</v>
      </c>
      <c r="C15" s="18">
        <v>126931</v>
      </c>
      <c r="D15" s="14">
        <f t="shared" si="0"/>
        <v>477054</v>
      </c>
      <c r="E15" s="35">
        <v>0.06</v>
      </c>
      <c r="F15" s="15">
        <f t="shared" si="4"/>
        <v>-21007</v>
      </c>
      <c r="G15" s="18">
        <f t="shared" si="5"/>
        <v>-7616</v>
      </c>
      <c r="H15" s="14">
        <f t="shared" si="1"/>
        <v>-28623</v>
      </c>
      <c r="I15" s="16">
        <f t="shared" si="2"/>
        <v>1050</v>
      </c>
      <c r="J15" s="14">
        <f t="shared" si="3"/>
        <v>449481</v>
      </c>
    </row>
    <row r="16" spans="1:10" ht="19.5" x14ac:dyDescent="0.3">
      <c r="A16" s="17" t="s">
        <v>32</v>
      </c>
      <c r="B16" s="13">
        <v>0</v>
      </c>
      <c r="C16" s="18">
        <v>0</v>
      </c>
      <c r="D16" s="14">
        <f t="shared" si="0"/>
        <v>0</v>
      </c>
      <c r="E16" s="35">
        <v>0.03</v>
      </c>
      <c r="F16" s="15">
        <f t="shared" si="4"/>
        <v>-10504</v>
      </c>
      <c r="G16" s="18">
        <f t="shared" si="5"/>
        <v>-3808</v>
      </c>
      <c r="H16" s="14">
        <f t="shared" si="1"/>
        <v>-14312</v>
      </c>
      <c r="I16" s="16">
        <f t="shared" si="2"/>
        <v>525</v>
      </c>
      <c r="J16" s="14">
        <f t="shared" si="3"/>
        <v>-13787</v>
      </c>
    </row>
    <row r="17" spans="1:12" ht="19.5" x14ac:dyDescent="0.3">
      <c r="A17" s="17" t="s">
        <v>33</v>
      </c>
      <c r="B17" s="13">
        <v>0</v>
      </c>
      <c r="C17" s="18">
        <v>0</v>
      </c>
      <c r="D17" s="14">
        <f t="shared" si="0"/>
        <v>0</v>
      </c>
      <c r="E17" s="35">
        <v>0.02</v>
      </c>
      <c r="F17" s="15">
        <f t="shared" si="4"/>
        <v>-7002</v>
      </c>
      <c r="G17" s="18">
        <f t="shared" si="5"/>
        <v>-2539</v>
      </c>
      <c r="H17" s="14">
        <f t="shared" si="1"/>
        <v>-9541</v>
      </c>
      <c r="I17" s="16">
        <f t="shared" si="2"/>
        <v>350</v>
      </c>
      <c r="J17" s="14">
        <f t="shared" si="3"/>
        <v>-9191</v>
      </c>
    </row>
    <row r="18" spans="1:12" ht="19.5" x14ac:dyDescent="0.3">
      <c r="A18" s="17" t="s">
        <v>34</v>
      </c>
      <c r="B18" s="13">
        <v>0</v>
      </c>
      <c r="C18" s="18">
        <v>0</v>
      </c>
      <c r="D18" s="14">
        <f t="shared" si="0"/>
        <v>0</v>
      </c>
      <c r="E18" s="35">
        <v>0.06</v>
      </c>
      <c r="F18" s="15">
        <f t="shared" si="4"/>
        <v>-21007</v>
      </c>
      <c r="G18" s="18">
        <f t="shared" si="5"/>
        <v>-7616</v>
      </c>
      <c r="H18" s="14">
        <f t="shared" si="1"/>
        <v>-28623</v>
      </c>
      <c r="I18" s="16">
        <f t="shared" si="2"/>
        <v>1050</v>
      </c>
      <c r="J18" s="14">
        <f t="shared" si="3"/>
        <v>-27573</v>
      </c>
    </row>
    <row r="19" spans="1:12" ht="19.5" x14ac:dyDescent="0.3">
      <c r="A19" s="17" t="s">
        <v>35</v>
      </c>
      <c r="B19" s="13">
        <v>0</v>
      </c>
      <c r="C19" s="18">
        <v>0</v>
      </c>
      <c r="D19" s="14">
        <f t="shared" si="0"/>
        <v>0</v>
      </c>
      <c r="E19" s="35">
        <v>0.05</v>
      </c>
      <c r="F19" s="15">
        <f t="shared" si="4"/>
        <v>-17506</v>
      </c>
      <c r="G19" s="18">
        <f t="shared" si="5"/>
        <v>-6347</v>
      </c>
      <c r="H19" s="14">
        <f t="shared" si="1"/>
        <v>-23853</v>
      </c>
      <c r="I19" s="16">
        <f t="shared" si="2"/>
        <v>875</v>
      </c>
      <c r="J19" s="14">
        <f t="shared" si="3"/>
        <v>-22978</v>
      </c>
    </row>
    <row r="20" spans="1:12" ht="19.5" x14ac:dyDescent="0.3">
      <c r="A20" s="17" t="s">
        <v>44</v>
      </c>
      <c r="B20" s="13">
        <v>0</v>
      </c>
      <c r="C20" s="18">
        <v>0</v>
      </c>
      <c r="D20" s="14">
        <f t="shared" si="0"/>
        <v>0</v>
      </c>
      <c r="E20" s="35">
        <v>0.05</v>
      </c>
      <c r="F20" s="15">
        <f t="shared" si="4"/>
        <v>-17506</v>
      </c>
      <c r="G20" s="18">
        <f t="shared" si="5"/>
        <v>-6347</v>
      </c>
      <c r="H20" s="14">
        <f t="shared" si="1"/>
        <v>-23853</v>
      </c>
      <c r="I20" s="16">
        <f t="shared" si="2"/>
        <v>875</v>
      </c>
      <c r="J20" s="14">
        <f t="shared" si="3"/>
        <v>-22978</v>
      </c>
    </row>
    <row r="21" spans="1:12" ht="19.5" x14ac:dyDescent="0.3">
      <c r="A21" s="17" t="s">
        <v>36</v>
      </c>
      <c r="B21" s="13">
        <v>0</v>
      </c>
      <c r="C21" s="18">
        <v>0</v>
      </c>
      <c r="D21" s="14">
        <f>C21+B21</f>
        <v>0</v>
      </c>
      <c r="E21" s="35">
        <v>0.06</v>
      </c>
      <c r="F21" s="15">
        <f t="shared" si="4"/>
        <v>-21007</v>
      </c>
      <c r="G21" s="18">
        <f t="shared" si="5"/>
        <v>-7616</v>
      </c>
      <c r="H21" s="14">
        <f>F21+G21</f>
        <v>-28623</v>
      </c>
      <c r="I21" s="16">
        <f>ROUND((F21*0.05*-1),0)</f>
        <v>1050</v>
      </c>
      <c r="J21" s="19">
        <f>D21+H21+I21</f>
        <v>-27573</v>
      </c>
    </row>
    <row r="22" spans="1:12" ht="19.5" x14ac:dyDescent="0.3">
      <c r="A22" s="17" t="s">
        <v>30</v>
      </c>
      <c r="B22" s="13">
        <v>0</v>
      </c>
      <c r="C22" s="18">
        <v>0</v>
      </c>
      <c r="D22" s="14">
        <f>C22+B22</f>
        <v>0</v>
      </c>
      <c r="E22" s="35">
        <v>7.0000000000000007E-2</v>
      </c>
      <c r="F22" s="15">
        <v>-24512</v>
      </c>
      <c r="G22" s="15">
        <f>-1*C23-SUM(G7:G21)</f>
        <v>-8882</v>
      </c>
      <c r="H22" s="14">
        <f>F22+G22</f>
        <v>-33394</v>
      </c>
      <c r="I22" s="16">
        <f>ROUND((F22*0.05*-1),0)</f>
        <v>1226</v>
      </c>
      <c r="J22" s="14">
        <f>D22+H22+I22</f>
        <v>-32168</v>
      </c>
    </row>
    <row r="23" spans="1:12" s="1" customFormat="1" ht="22.7" customHeight="1" thickBot="1" x14ac:dyDescent="0.35">
      <c r="A23" s="36" t="s">
        <v>37</v>
      </c>
      <c r="B23" s="37">
        <f t="shared" ref="B23:J23" si="6">SUM(B7:B22)</f>
        <v>350123</v>
      </c>
      <c r="C23" s="22">
        <f t="shared" si="6"/>
        <v>126931</v>
      </c>
      <c r="D23" s="38">
        <f t="shared" si="6"/>
        <v>477054</v>
      </c>
      <c r="E23" s="39">
        <f t="shared" si="6"/>
        <v>1.0000000000000002</v>
      </c>
      <c r="F23" s="22">
        <f>SUM(F7:F22)</f>
        <v>-350123</v>
      </c>
      <c r="G23" s="22">
        <f t="shared" si="6"/>
        <v>-126931</v>
      </c>
      <c r="H23" s="21">
        <f t="shared" si="6"/>
        <v>-477054</v>
      </c>
      <c r="I23" s="20">
        <f t="shared" si="6"/>
        <v>17505</v>
      </c>
      <c r="J23" s="21">
        <f t="shared" si="6"/>
        <v>17505</v>
      </c>
    </row>
    <row r="24" spans="1:12" s="1" customFormat="1" ht="22.7" customHeight="1" x14ac:dyDescent="0.25">
      <c r="A24" s="23"/>
      <c r="B24" s="23"/>
      <c r="C24"/>
      <c r="D24" s="40"/>
      <c r="E24" s="40"/>
      <c r="F24" s="23"/>
      <c r="G24" s="23"/>
      <c r="H24" s="23"/>
      <c r="I24" s="23"/>
      <c r="J24" s="23"/>
      <c r="K24" s="23"/>
      <c r="L24" s="24"/>
    </row>
    <row r="25" spans="1:12" s="1" customFormat="1" ht="22.7" customHeight="1" x14ac:dyDescent="0.25">
      <c r="A25" s="23"/>
      <c r="B25" s="23" t="s">
        <v>42</v>
      </c>
      <c r="C25"/>
      <c r="D25" s="40" t="s">
        <v>40</v>
      </c>
      <c r="E25" s="40"/>
      <c r="F25" s="23"/>
      <c r="G25" s="23" t="s">
        <v>39</v>
      </c>
      <c r="H25" s="23"/>
      <c r="I25" s="23" t="s">
        <v>43</v>
      </c>
      <c r="J25" s="23"/>
      <c r="K25" s="23"/>
      <c r="L25" s="24"/>
    </row>
    <row r="26" spans="1:12" s="1" customFormat="1" ht="22.7" customHeight="1" x14ac:dyDescent="0.25">
      <c r="C26"/>
    </row>
    <row r="27" spans="1:12" s="1" customFormat="1" ht="22.7" customHeight="1" x14ac:dyDescent="0.25">
      <c r="C27"/>
      <c r="F27" s="1">
        <v>24512</v>
      </c>
    </row>
    <row r="28" spans="1:12" s="1" customFormat="1" ht="22.7" customHeight="1" x14ac:dyDescent="0.25">
      <c r="C28"/>
    </row>
    <row r="29" spans="1:12" s="1" customFormat="1" ht="22.7" customHeight="1" x14ac:dyDescent="0.25">
      <c r="C29"/>
    </row>
    <row r="30" spans="1:12" x14ac:dyDescent="0.25">
      <c r="C30"/>
    </row>
    <row r="31" spans="1:12" x14ac:dyDescent="0.25">
      <c r="C31"/>
    </row>
    <row r="32" spans="1:12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</sheetData>
  <mergeCells count="9">
    <mergeCell ref="D24:E24"/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2026-07-29T06:07:15Z</cp:lastPrinted>
  <dcterms:created xsi:type="dcterms:W3CDTF">2015-06-05T18:19:34Z</dcterms:created>
  <dcterms:modified xsi:type="dcterms:W3CDTF">2026-07-29T08:04:28Z</dcterms:modified>
</cp:coreProperties>
</file>